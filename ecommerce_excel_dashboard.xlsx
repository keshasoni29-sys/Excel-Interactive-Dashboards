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mc:AlternateContent xmlns:mc="http://schemas.openxmlformats.org/markup-compatibility/2006">
    <mc:Choice Requires="x15">
      <x15ac:absPath xmlns:x15ac="http://schemas.microsoft.com/office/spreadsheetml/2010/11/ac" url="https://d.docs.live.net/adebf4ff2cf1001d/Desktop/"/>
    </mc:Choice>
  </mc:AlternateContent>
  <xr:revisionPtr revIDLastSave="33" documentId="8_{D6EE2A6F-E87F-4C53-84B6-3F4112E558D4}" xr6:coauthVersionLast="47" xr6:coauthVersionMax="47" xr10:uidLastSave="{44798BC3-ACE8-4316-A728-89BB870A0992}"/>
  <bookViews>
    <workbookView xWindow="-38510" yWindow="-2320" windowWidth="38620" windowHeight="21100" xr2:uid="{346724B3-1C49-40AE-AA36-C77CF5D6DD09}"/>
  </bookViews>
  <sheets>
    <sheet name="Dashboard" sheetId="3" r:id="rId1"/>
    <sheet name="Pivots" sheetId="5" r:id="rId2"/>
    <sheet name="Data" sheetId="1" r:id="rId3"/>
    <sheet name="Questions &amp; KPIs" sheetId="2" r:id="rId4"/>
    <sheet name="Logo &amp; Colors" sheetId="4" r:id="rId5"/>
  </sheets>
  <definedNames>
    <definedName name="_xlchart.v5.0" hidden="1">Pivots!$F$82:$G$82</definedName>
    <definedName name="_xlchart.v5.1" hidden="1">Pivots!$F$83:$G$140</definedName>
    <definedName name="_xlchart.v5.2" hidden="1">Pivots!$H$82</definedName>
    <definedName name="_xlchart.v5.3" hidden="1">Pivots!$H$83:$H$140</definedName>
    <definedName name="_xlchart.v5.4" hidden="1">Pivots!$J$82:$K$82</definedName>
    <definedName name="_xlchart.v5.5" hidden="1">Pivots!$J$83:$K$140</definedName>
    <definedName name="_xlchart.v5.6" hidden="1">Pivots!$L$82</definedName>
    <definedName name="_xlchart.v5.7" hidden="1">Pivots!$L$83:$L$140</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4" i="5" l="1"/>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83" i="5"/>
  <c r="J27" i="5"/>
  <c r="K27" i="5"/>
  <c r="L27" i="5"/>
  <c r="I28" i="5"/>
  <c r="I29" i="5"/>
  <c r="I30" i="5"/>
  <c r="I31" i="5"/>
  <c r="I32" i="5"/>
  <c r="I27" i="5"/>
  <c r="L29" i="5"/>
  <c r="L30" i="5"/>
  <c r="L31" i="5"/>
  <c r="L32" i="5"/>
  <c r="K29" i="5"/>
  <c r="K30" i="5"/>
  <c r="K31" i="5"/>
  <c r="K32" i="5"/>
  <c r="J29" i="5"/>
  <c r="J30" i="5"/>
  <c r="J31" i="5"/>
  <c r="J32" i="5"/>
  <c r="H29" i="5"/>
  <c r="H30" i="5"/>
  <c r="H31" i="5"/>
  <c r="H32" i="5"/>
  <c r="J28" i="5"/>
  <c r="K28" i="5"/>
  <c r="L28" i="5"/>
  <c r="H28"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<sst xmlns="http://schemas.openxmlformats.org/spreadsheetml/2006/main" count="14795" uniqueCount="2581">
  <si>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</si>
  <si>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</si>
  <si>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</si>
  <si>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</si>
  <si>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</si>
  <si>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</si>
  <si>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</si>
  <si>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</si>
  <si>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</si>
  <si>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</si>
  <si>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</si>
  <si>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</si>
  <si>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</si>
  <si>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</si>
  <si>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</si>
  <si>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</si>
  <si>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</si>
  <si>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</si>
  <si>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</si>
  <si>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</si>
  <si>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</si>
  <si>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</si>
  <si>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</si>
  <si>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</si>
  <si>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</si>
  <si>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</si>
  <si>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</si>
  <si>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</si>
  <si>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</si>
  <si>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</si>
  <si>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</si>
  <si>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</si>
  <si>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</si>
  <si>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</si>
  <si>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</si>
  <si>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</si>
  <si>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</si>
  <si>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</si>
  <si>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</si>
  <si>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</si>
  <si>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</si>
  <si>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</si>
  <si>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</si>
  <si>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</si>
  <si>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</si>
  <si>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</si>
  <si>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</si>
  <si>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</si>
  <si>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</si>
  <si>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</si>
  <si>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</si>
  <si>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</si>
  <si>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</si>
  <si>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</si>
  <si>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</si>
  <si>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</si>
  <si>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</si>
  <si>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</si>
  <si>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</si>
  <si>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</si>
  <si>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</si>
  <si>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</si>
  <si>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</si>
  <si>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</si>
  <si>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</si>
  <si>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</si>
  <si>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</si>
  <si>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</si>
  <si>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</si>
  <si>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</si>
  <si>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</si>
  <si>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</si>
  <si>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</si>
  <si>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</si>
  <si>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</si>
  <si>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</si>
  <si>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</si>
  <si>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</si>
  <si>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</si>
  <si>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</si>
  <si>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</si>
  <si>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</si>
  <si>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</si>
  <si>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</si>
  <si>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</si>
  <si>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</si>
  <si>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</si>
  <si>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</si>
  <si>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</si>
  <si>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</si>
  <si>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</si>
  <si>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</si>
  <si>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</si>
  <si>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</si>
  <si>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</si>
  <si>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</si>
  <si>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</si>
  <si>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</si>
  <si>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</si>
  <si>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</si>
  <si>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</si>
  <si>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</si>
  <si>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</si>
  <si>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</si>
  <si>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</si>
  <si>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</si>
  <si>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</si>
  <si>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</si>
  <si>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</si>
  <si>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</si>
  <si>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</si>
  <si>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</si>
  <si>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</si>
  <si>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</si>
  <si>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</si>
  <si>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</si>
  <si>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</si>
  <si>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</si>
  <si>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</si>
  <si>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</si>
  <si>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</si>
  <si>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</si>
  <si>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</si>
  <si>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</si>
  <si>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</si>
  <si>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</si>
  <si>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</si>
  <si>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</si>
  <si>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</si>
  <si>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</si>
  <si>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</si>
  <si>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</si>
  <si>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</si>
  <si>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</si>
  <si>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</si>
  <si>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</si>
  <si>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</si>
  <si>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</si>
  <si>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</si>
  <si>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</si>
  <si>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</si>
  <si>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</si>
  <si>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</si>
  <si>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</si>
  <si>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</si>
  <si>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</si>
  <si>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</si>
  <si>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</si>
  <si>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</si>
  <si>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</si>
  <si>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</si>
  <si>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</si>
  <si>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</si>
  <si>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</si>
  <si>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</si>
  <si>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</si>
  <si>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</si>
  <si>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</si>
  <si>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</si>
  <si>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</si>
  <si>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</si>
  <si>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</si>
  <si>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</si>
  <si>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</si>
  <si>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</si>
  <si>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</si>
  <si>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</si>
  <si>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</si>
  <si>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</si>
  <si>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</si>
  <si>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</si>
  <si>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</si>
  <si>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</si>
  <si>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</si>
  <si>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</si>
  <si>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</si>
  <si>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</si>
  <si>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</si>
  <si>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</si>
  <si>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</si>
  <si>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</si>
  <si>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</si>
  <si>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</si>
  <si>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</si>
  <si>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</si>
  <si>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</si>
  <si>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</si>
  <si>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</si>
  <si>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</si>
  <si>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</si>
  <si>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</si>
  <si>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</si>
  <si>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</si>
  <si>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</si>
  <si>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</si>
  <si>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</si>
  <si>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</si>
  <si>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</si>
  <si>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</si>
  <si>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</si>
  <si>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</si>
  <si>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</si>
  <si>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</si>
  <si>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</si>
  <si>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</si>
  <si>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</si>
  <si>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</si>
  <si>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</si>
  <si>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</si>
  <si>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</si>
  <si>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</si>
  <si>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</si>
  <si>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</si>
  <si>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</si>
  <si>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</si>
  <si>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</si>
  <si>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</si>
  <si>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</si>
  <si>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</si>
  <si>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</si>
  <si>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</si>
  <si>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</si>
  <si>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</si>
  <si>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</si>
  <si>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</si>
  <si>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</si>
  <si>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</si>
  <si>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</si>
  <si>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</si>
  <si>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</si>
  <si>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</si>
  <si>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</si>
  <si>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</si>
  <si>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</si>
  <si>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</si>
  <si>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</si>
  <si>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</si>
  <si>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</si>
  <si>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</si>
  <si>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</si>
  <si>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</si>
  <si>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</si>
  <si>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</si>
  <si>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</si>
  <si>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</si>
  <si>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</si>
  <si>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</si>
  <si>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</si>
  <si>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</si>
  <si>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</si>
  <si>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</si>
  <si>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</si>
  <si>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</si>
  <si>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</si>
  <si>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</si>
  <si>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</si>
  <si>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</si>
  <si>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</si>
  <si>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</si>
  <si>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</si>
  <si>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</si>
  <si>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</si>
  <si>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</si>
  <si>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</si>
  <si>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</si>
  <si>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</si>
  <si>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</si>
  <si>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</si>
  <si>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</si>
  <si>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</si>
  <si>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</si>
  <si>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</si>
  <si>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</si>
  <si>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</si>
  <si>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</si>
  <si>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</si>
  <si>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</si>
  <si>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</si>
  <si>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</si>
  <si>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</si>
  <si>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</si>
  <si>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</si>
  <si>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</si>
  <si>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</si>
  <si>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</si>
  <si>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</si>
  <si>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</si>
  <si>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</si>
  <si>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</si>
  <si>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</si>
  <si>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</si>
  <si>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</si>
  <si>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</si>
  <si>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</si>
  <si>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</si>
  <si>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</si>
  <si>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</si>
  <si>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</si>
  <si>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</si>
  <si>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</si>
  <si>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</si>
  <si>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</si>
  <si>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</si>
  <si>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</si>
  <si>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</si>
  <si>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</si>
  <si>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</si>
  <si>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</si>
  <si>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</si>
  <si>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</si>
  <si>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</si>
  <si>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</si>
  <si>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</si>
  <si>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</si>
  <si>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</si>
  <si>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</si>
  <si>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</si>
  <si>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</si>
  <si>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</si>
  <si>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</si>
  <si>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</si>
  <si>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</si>
  <si>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</si>
  <si>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</si>
  <si>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</si>
  <si>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</si>
  <si>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</si>
  <si>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</si>
  <si>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</si>
  <si>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</si>
  <si>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</si>
  <si>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</si>
  <si>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</si>
  <si>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</si>
  <si>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</si>
  <si>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</si>
  <si>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</si>
  <si>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</si>
  <si>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</si>
  <si>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</si>
  <si>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</si>
  <si>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</si>
  <si>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</si>
  <si>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</si>
  <si>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</si>
  <si>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</si>
  <si>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</si>
  <si>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</si>
  <si>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</si>
  <si>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</si>
  <si>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</si>
  <si>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</si>
  <si>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</si>
  <si>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</si>
  <si>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</si>
  <si>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</si>
  <si>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</si>
  <si>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</si>
  <si>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</si>
  <si>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</si>
  <si>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</si>
  <si>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</si>
  <si>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</si>
  <si>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</si>
  <si>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</si>
  <si>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</si>
  <si>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</si>
  <si>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</si>
  <si>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</si>
  <si>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</si>
  <si>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</si>
  <si>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</si>
  <si>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</si>
  <si>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</si>
  <si>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</si>
  <si>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</si>
  <si>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</si>
  <si>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</si>
  <si>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</si>
  <si>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</si>
  <si>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</si>
  <si>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</si>
  <si>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</si>
  <si>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</si>
  <si>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</si>
  <si>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</si>
  <si>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</si>
  <si>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</si>
  <si>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</si>
  <si>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</si>
  <si>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</si>
  <si>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</si>
  <si>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</si>
  <si>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</si>
  <si>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</si>
  <si>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</si>
  <si>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</si>
  <si>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</si>
  <si>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</si>
  <si>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</si>
  <si>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</si>
  <si>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</si>
  <si>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</si>
  <si>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</si>
  <si>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</si>
  <si>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</si>
  <si>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</si>
  <si>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</si>
  <si>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</si>
  <si>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</si>
  <si>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</si>
  <si>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</si>
  <si>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</si>
  <si>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</si>
  <si>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</si>
  <si>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</si>
  <si>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</si>
  <si>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</si>
  <si>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</si>
  <si>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</si>
  <si>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</si>
  <si>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</si>
  <si>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</si>
  <si>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</si>
  <si>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</si>
  <si>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</si>
  <si>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</si>
  <si>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</si>
  <si>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</si>
  <si>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</si>
  <si>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</si>
  <si>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</si>
  <si>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</si>
  <si>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</si>
  <si>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</si>
  <si>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</si>
  <si>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</si>
  <si>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</si>
  <si>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</si>
  <si>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</si>
  <si>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</si>
  <si>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</si>
  <si>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</si>
  <si>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</si>
  <si>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</si>
  <si>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</si>
  <si>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</si>
  <si>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</si>
  <si>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</si>
  <si>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</si>
  <si>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</si>
  <si>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</si>
  <si>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</si>
  <si>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</si>
  <si>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</si>
  <si>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</si>
  <si>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</si>
  <si>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</si>
  <si>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</si>
  <si>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</si>
  <si>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</si>
  <si>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</si>
  <si>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</si>
  <si>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</si>
  <si>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</si>
  <si>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</si>
  <si>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</si>
  <si>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</si>
  <si>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</si>
  <si>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</si>
  <si>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</si>
  <si>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</si>
  <si>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</si>
  <si>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</si>
  <si>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</si>
  <si>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</si>
  <si>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</si>
  <si>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</si>
  <si>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</si>
  <si>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</si>
  <si>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</si>
  <si>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</si>
  <si>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</si>
  <si>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</si>
  <si>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</si>
  <si>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</si>
  <si>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</si>
  <si>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</si>
  <si>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</si>
  <si>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</si>
  <si>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</si>
  <si>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</si>
  <si>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</si>
  <si>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</si>
  <si>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</si>
  <si>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</si>
  <si>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</si>
  <si>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</si>
  <si>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</si>
  <si>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</si>
  <si>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</si>
  <si>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</si>
  <si>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</si>
  <si>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</si>
  <si>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</si>
  <si>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</si>
  <si>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</si>
  <si>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</si>
  <si>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</si>
  <si>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</si>
  <si>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</si>
  <si>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</si>
  <si>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</si>
  <si>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</si>
  <si>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</si>
  <si>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</si>
  <si>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</si>
  <si>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</si>
  <si>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</si>
  <si>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</si>
  <si>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</si>
  <si>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</si>
  <si>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</si>
  <si>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</si>
  <si>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</si>
  <si>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</si>
  <si>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</si>
  <si>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</si>
  <si>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</si>
  <si>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</si>
  <si>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</si>
  <si>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</si>
  <si>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</si>
  <si>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</si>
  <si>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</si>
  <si>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</si>
  <si>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</si>
  <si>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</si>
  <si>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</si>
  <si>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</si>
  <si>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</si>
  <si>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</si>
  <si>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</si>
  <si>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</si>
  <si>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</si>
  <si>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</si>
  <si>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</si>
  <si>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</si>
  <si>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</si>
  <si>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</si>
  <si>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</si>
  <si>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</si>
  <si>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</si>
  <si>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</si>
  <si>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</si>
  <si>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</si>
  <si>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</si>
  <si>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</si>
  <si>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</si>
  <si>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</si>
  <si>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</si>
  <si>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</si>
  <si>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</si>
  <si>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</si>
  <si>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</si>
  <si>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</si>
  <si>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</si>
  <si>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</si>
  <si>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</si>
  <si>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</si>
  <si>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</si>
  <si>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</si>
  <si>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</si>
  <si>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</si>
  <si>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</si>
  <si>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</si>
  <si>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</si>
  <si>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</si>
  <si>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</si>
  <si>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</si>
  <si>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</si>
  <si>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</si>
  <si>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</si>
  <si>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</si>
  <si>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</si>
  <si>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</si>
  <si>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</si>
  <si>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</si>
  <si>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</si>
  <si>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</si>
  <si>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</si>
  <si>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</si>
  <si>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</si>
  <si>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</si>
  <si>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</si>
  <si>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</si>
  <si>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</si>
  <si>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</si>
  <si>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</si>
  <si>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</si>
  <si>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</si>
  <si>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</si>
  <si>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</si>
  <si>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</si>
  <si>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</si>
  <si>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</si>
  <si>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</si>
  <si>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</si>
  <si>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</si>
  <si>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</si>
  <si>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</si>
  <si>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</si>
  <si>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</si>
  <si>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</si>
  <si>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</si>
  <si>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</si>
  <si>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</si>
  <si>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</si>
  <si>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</si>
  <si>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</si>
  <si>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</si>
  <si>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</si>
  <si>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</si>
  <si>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</si>
  <si>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</si>
  <si>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</si>
  <si>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</si>
  <si>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</si>
  <si>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</si>
  <si>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</si>
  <si>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</si>
  <si>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</si>
  <si>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</si>
  <si>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</si>
  <si>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</si>
  <si>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</si>
  <si>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</si>
  <si>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</si>
  <si>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</si>
  <si>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</si>
  <si>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</si>
  <si>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</si>
  <si>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</si>
  <si>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</si>
  <si>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</si>
  <si>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</si>
  <si>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</si>
  <si>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</si>
  <si>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</si>
  <si>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</si>
  <si>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</si>
  <si>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</si>
  <si>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</si>
  <si>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</si>
  <si>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</si>
  <si>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</si>
  <si>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</si>
  <si>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</si>
  <si>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</si>
  <si>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</si>
  <si>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</si>
  <si>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</si>
  <si>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</si>
  <si>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</si>
  <si>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</si>
  <si>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</si>
  <si>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</si>
  <si>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</si>
  <si>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</si>
  <si>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</si>
  <si>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</si>
  <si>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</si>
  <si>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</si>
  <si>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</si>
  <si>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</si>
  <si>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</si>
  <si>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</si>
  <si>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</si>
  <si>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</si>
  <si>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</si>
  <si>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</si>
  <si>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</si>
  <si>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</si>
  <si>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</si>
  <si>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</si>
  <si>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</si>
  <si>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</si>
  <si>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</si>
  <si>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</si>
  <si>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</si>
  <si>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</si>
  <si>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</si>
  <si>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</si>
  <si>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</si>
  <si>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</si>
  <si>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</si>
  <si>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</si>
  <si>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</si>
  <si>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</si>
  <si>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</si>
  <si>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</si>
  <si>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</si>
  <si>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</si>
  <si>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</si>
  <si>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</si>
  <si>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</si>
  <si>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</si>
  <si>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</si>
  <si>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</si>
  <si>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</si>
  <si>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</si>
  <si>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</si>
  <si>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</si>
  <si>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</si>
  <si>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</si>
  <si>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</si>
  <si>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</si>
  <si>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</si>
  <si>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</si>
  <si>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</si>
  <si>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</si>
  <si>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</si>
  <si>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</si>
  <si>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</si>
  <si>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</si>
  <si>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</si>
  <si>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</si>
  <si>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</si>
  <si>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</si>
  <si>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</si>
  <si>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</si>
  <si>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</si>
  <si>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</si>
  <si>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</si>
  <si>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</si>
  <si>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</si>
  <si>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</si>
  <si>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</si>
  <si>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</si>
  <si>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</si>
  <si>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</si>
  <si>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</si>
  <si>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</si>
  <si>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</si>
  <si>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</si>
  <si>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</si>
  <si>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</si>
  <si>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</si>
  <si>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</si>
  <si>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</si>
  <si>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</si>
  <si>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</si>
  <si>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</si>
  <si>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</si>
  <si>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</si>
  <si>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</si>
  <si>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</si>
  <si>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</si>
  <si>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</si>
  <si>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</si>
  <si>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</si>
  <si>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</si>
  <si>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</si>
  <si>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</si>
  <si>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</si>
  <si>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</si>
  <si>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</si>
  <si>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</si>
  <si>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</si>
  <si>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</si>
  <si>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</si>
  <si>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</si>
  <si>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</si>
  <si>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</si>
  <si>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</si>
  <si>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</si>
  <si>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</si>
  <si>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</si>
  <si>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</si>
  <si>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</si>
  <si>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</si>
  <si>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</si>
  <si>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</si>
  <si>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</si>
  <si>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</si>
  <si>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</si>
  <si>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</si>
  <si>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</si>
  <si>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</si>
  <si>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</si>
  <si>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</si>
  <si>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</si>
  <si>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</si>
  <si>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</si>
  <si>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</si>
  <si>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</si>
  <si>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</si>
  <si>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</si>
  <si>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</si>
  <si>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</si>
  <si>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</si>
  <si>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</si>
  <si>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</si>
  <si>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</si>
  <si>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</si>
  <si>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</si>
  <si>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</si>
  <si>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</si>
  <si>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</si>
  <si>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</si>
  <si>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</si>
  <si>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</si>
  <si>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</si>
  <si>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</si>
  <si>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</si>
  <si>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</si>
  <si>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</si>
  <si>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</si>
  <si>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</si>
  <si>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</si>
  <si>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</si>
  <si>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</si>
  <si>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</si>
  <si>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</si>
  <si>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</si>
  <si>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</si>
  <si>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</si>
  <si>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</si>
  <si>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</si>
  <si>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</si>
  <si>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</si>
  <si>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</si>
  <si>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</si>
  <si>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</si>
  <si>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</si>
  <si>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</si>
  <si>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</si>
  <si>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</si>
  <si>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</si>
  <si>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</si>
  <si>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</si>
  <si>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</si>
  <si>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</si>
  <si>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</si>
  <si>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</si>
  <si>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</si>
  <si>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</si>
  <si>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</si>
  <si>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</si>
  <si>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</si>
  <si>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</si>
  <si>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</si>
  <si>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</si>
  <si>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</si>
  <si>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</si>
  <si>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</si>
  <si>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</si>
  <si>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</si>
  <si>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</si>
  <si>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</si>
  <si>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</si>
  <si>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</si>
  <si>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</si>
  <si>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</si>
  <si>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</si>
  <si>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</si>
  <si>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</si>
  <si>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</si>
  <si>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</si>
  <si>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</si>
  <si>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</si>
  <si>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</si>
  <si>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</si>
  <si>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</si>
  <si>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</si>
  <si>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</si>
  <si>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</si>
  <si>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</si>
  <si>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</si>
  <si>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</si>
  <si>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</si>
  <si>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</si>
  <si>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</si>
  <si>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</si>
  <si>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</si>
  <si>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</si>
  <si>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</si>
  <si>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</si>
  <si>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</si>
  <si>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</si>
  <si>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</si>
  <si>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</si>
  <si>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</si>
  <si>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</si>
  <si>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</si>
  <si>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</si>
  <si>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</si>
  <si>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</si>
  <si>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</si>
  <si>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</si>
  <si>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</si>
  <si>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</si>
  <si>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</si>
  <si>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</si>
  <si>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</si>
  <si>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</si>
  <si>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</si>
  <si>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</si>
  <si>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</si>
  <si>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</si>
  <si>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</si>
  <si>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</si>
  <si>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</si>
  <si>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</si>
  <si>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</si>
  <si>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</si>
  <si>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</si>
  <si>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</si>
  <si>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</si>
  <si>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</si>
  <si>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</si>
  <si>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</si>
  <si>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</si>
  <si>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</si>
  <si>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</si>
  <si>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</si>
  <si>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</si>
  <si>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</si>
  <si>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</si>
  <si>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</si>
  <si>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</si>
  <si>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</si>
  <si>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</si>
  <si>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</si>
  <si>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</si>
  <si>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</si>
  <si>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</si>
  <si>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</si>
  <si>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</si>
  <si>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</si>
  <si>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</si>
  <si>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</si>
  <si>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</si>
  <si>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</si>
  <si>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</si>
  <si>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</si>
  <si>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</si>
  <si>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</si>
  <si>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</si>
  <si>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</si>
  <si>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</si>
  <si>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</si>
  <si>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</si>
  <si>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</si>
  <si>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</si>
  <si>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</si>
  <si>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</si>
  <si>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</si>
  <si>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</si>
  <si>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</si>
  <si>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</si>
  <si>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</si>
  <si>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</si>
  <si>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</si>
  <si>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</si>
  <si>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</si>
  <si>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</si>
  <si>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</si>
  <si>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</si>
  <si>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</si>
  <si>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</si>
  <si>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</si>
  <si>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</si>
  <si>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</si>
  <si>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</si>
  <si>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</si>
  <si>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</si>
  <si>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</si>
  <si>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</si>
  <si>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</si>
  <si>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</si>
  <si>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</si>
  <si>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</si>
  <si>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</si>
  <si>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</si>
  <si>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</si>
  <si>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</si>
  <si>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</si>
  <si>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</si>
  <si>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</si>
  <si>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</si>
  <si>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</si>
  <si>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</si>
  <si>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</si>
  <si>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</si>
  <si>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</si>
  <si>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</si>
  <si>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</si>
  <si>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</si>
  <si>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</si>
  <si>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</si>
  <si>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</si>
  <si>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</si>
  <si>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</si>
  <si>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</si>
  <si>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</si>
  <si>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</si>
  <si>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</si>
  <si>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</si>
  <si>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</si>
  <si>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</si>
  <si>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</si>
  <si>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</si>
  <si>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</si>
  <si>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</si>
  <si>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</si>
  <si>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</si>
  <si>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</si>
  <si>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</si>
  <si>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</si>
  <si>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</si>
  <si>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</si>
  <si>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</si>
  <si>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</si>
  <si>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</si>
  <si>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</si>
  <si>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</si>
  <si>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</si>
  <si>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</si>
  <si>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</si>
  <si>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</si>
  <si>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</si>
  <si>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</si>
  <si>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</si>
  <si>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</si>
  <si>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</si>
  <si>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</si>
  <si>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</si>
  <si>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</si>
  <si>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</si>
  <si>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</si>
  <si>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</si>
  <si>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</si>
  <si>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</si>
  <si>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</si>
  <si>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</si>
  <si>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</si>
  <si>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</si>
  <si>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</si>
  <si>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</si>
  <si>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</si>
  <si>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</si>
  <si>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</si>
  <si>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</si>
  <si>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</si>
  <si>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</si>
  <si>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</si>
  <si>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</si>
  <si>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</si>
  <si>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</si>
  <si>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</si>
  <si>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</si>
  <si>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</si>
  <si>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</si>
  <si>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</si>
  <si>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</si>
  <si>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</si>
  <si>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</si>
  <si>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</si>
  <si>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</si>
  <si>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</si>
  <si>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</si>
  <si>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</si>
  <si>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</si>
  <si>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</si>
  <si>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</si>
  <si>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</si>
  <si>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</si>
  <si>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</si>
  <si>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</si>
  <si>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</si>
  <si>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</si>
  <si>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</si>
  <si>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</si>
  <si>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</si>
  <si>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</si>
  <si>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</si>
  <si>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</si>
  <si>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</si>
  <si>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</si>
  <si>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</si>
  <si>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</si>
  <si>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</si>
  <si>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</si>
  <si>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</si>
  <si>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</si>
  <si>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</si>
  <si>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</si>
  <si>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</si>
  <si>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</si>
  <si>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</si>
  <si>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</si>
  <si>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</si>
  <si>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</si>
  <si>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</si>
  <si>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</si>
  <si>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</si>
  <si>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</si>
  <si>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</si>
  <si>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</si>
  <si>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</si>
  <si>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</si>
  <si>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</si>
  <si>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</si>
  <si>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</si>
  <si>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</si>
  <si>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</si>
  <si>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</si>
  <si>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</si>
  <si>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</si>
  <si>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</si>
  <si>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</si>
  <si>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</si>
  <si>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</si>
  <si>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</si>
  <si>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</si>
  <si>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</si>
  <si>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</si>
  <si>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</si>
  <si>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</si>
  <si>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</si>
  <si>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</si>
  <si>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</si>
  <si>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</si>
  <si>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</si>
  <si>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</si>
  <si>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</si>
  <si>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</si>
  <si>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</si>
  <si>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</si>
  <si>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</si>
  <si>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</si>
  <si>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</si>
  <si>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</si>
  <si>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</si>
  <si>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</si>
  <si>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</si>
  <si>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</si>
  <si>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</si>
  <si>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</si>
  <si>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</si>
  <si>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</si>
  <si>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</si>
  <si>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</si>
  <si>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</si>
  <si>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</si>
  <si>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</si>
  <si>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</si>
  <si>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</si>
  <si>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</si>
  <si>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</si>
  <si>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</si>
  <si>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</si>
  <si>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</si>
  <si>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</si>
  <si>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</si>
  <si>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</si>
  <si>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</si>
  <si>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</si>
  <si>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</si>
  <si>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</si>
  <si>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</si>
  <si>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</si>
  <si>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</si>
  <si>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</si>
  <si>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</si>
  <si>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</si>
  <si>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</si>
  <si>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</si>
  <si>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</si>
  <si>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</si>
  <si>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</si>
  <si>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</si>
  <si>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</si>
  <si>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</si>
  <si>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</si>
  <si>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</si>
  <si>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</si>
  <si>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</si>
  <si>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</si>
  <si>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</si>
  <si>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</si>
  <si>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</si>
  <si>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</si>
  <si>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</si>
  <si>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</si>
  <si>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</si>
  <si>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</si>
  <si>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</si>
  <si>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</si>
  <si>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</si>
  <si>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</si>
  <si>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</si>
  <si>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</si>
  <si>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</si>
  <si>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</si>
  <si>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</si>
  <si>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</si>
  <si>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</si>
  <si>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</si>
  <si>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</si>
  <si>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</si>
  <si>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</si>
  <si>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</si>
  <si>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</si>
  <si>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</si>
  <si>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</si>
  <si>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</si>
  <si>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</si>
  <si>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</si>
  <si>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</si>
  <si>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</si>
  <si>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</si>
  <si>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</si>
  <si>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</si>
  <si>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</si>
  <si>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</si>
  <si>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</si>
  <si>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</si>
  <si>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</si>
  <si>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</si>
  <si>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</si>
  <si>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</si>
  <si>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</si>
  <si>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</si>
  <si>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</si>
  <si>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</si>
  <si>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</si>
  <si>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</si>
  <si>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</si>
  <si>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</si>
  <si>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</si>
  <si>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</si>
  <si>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</si>
  <si>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</si>
  <si>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</si>
  <si>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</si>
  <si>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</si>
  <si>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</si>
  <si>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</si>
  <si>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</si>
  <si>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</si>
  <si>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</si>
  <si>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</si>
  <si>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</si>
  <si>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</si>
  <si>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</si>
  <si>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</si>
  <si>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</si>
  <si>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</si>
  <si>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</si>
  <si>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</si>
  <si>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</si>
  <si>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</si>
  <si>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</si>
  <si>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</si>
  <si>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</si>
  <si>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</si>
  <si>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</si>
  <si>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</si>
  <si>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</si>
  <si>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</si>
  <si>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</si>
  <si>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</si>
  <si>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</si>
  <si>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</si>
  <si>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</si>
  <si>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</si>
  <si>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</si>
  <si>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</si>
  <si>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</si>
  <si>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</si>
  <si>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</si>
  <si>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</si>
  <si>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</si>
  <si>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</si>
  <si>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</si>
  <si>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</si>
  <si>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</si>
  <si>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</si>
  <si>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</si>
  <si>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</si>
  <si>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</si>
  <si>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</si>
  <si>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</si>
  <si>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</si>
  <si>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</si>
  <si>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</si>
  <si>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</si>
  <si>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</si>
  <si>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</si>
  <si>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</si>
  <si>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</si>
  <si>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</si>
  <si>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</si>
  <si>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</si>
  <si>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</si>
  <si>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</si>
  <si>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</si>
  <si>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</si>
  <si>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</si>
  <si>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</si>
  <si>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</si>
  <si>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</si>
  <si>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</si>
  <si>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</si>
  <si>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</si>
  <si>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</si>
  <si>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</si>
  <si>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</si>
  <si>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</si>
  <si>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</si>
  <si>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</si>
  <si>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</si>
  <si>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</si>
  <si>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</si>
  <si>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</si>
  <si>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</si>
  <si>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</si>
  <si>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</si>
  <si>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</si>
  <si>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</si>
  <si>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</si>
  <si>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</si>
  <si>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</si>
  <si>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</si>
  <si>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</si>
  <si>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</si>
  <si>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</si>
  <si>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</si>
  <si>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</si>
  <si>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</si>
  <si>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</si>
  <si>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</si>
  <si>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</si>
  <si>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</si>
  <si>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</si>
  <si>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</si>
  <si>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</si>
  <si>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</si>
  <si>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</si>
  <si>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</si>
  <si>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</si>
  <si>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</si>
  <si>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</si>
  <si>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</si>
  <si>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</si>
  <si>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</si>
  <si>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</si>
  <si>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</si>
  <si>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</si>
  <si>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</si>
  <si>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</si>
  <si>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</si>
  <si>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</si>
  <si>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</si>
  <si>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</si>
  <si>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</si>
  <si>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</si>
  <si>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</si>
  <si>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</si>
  <si>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</si>
  <si>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</si>
  <si>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</si>
  <si>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</si>
  <si>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</si>
  <si>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</si>
  <si>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</si>
  <si>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</si>
  <si>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</si>
  <si>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</si>
  <si>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</si>
  <si>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</si>
  <si>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</si>
  <si>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</si>
  <si>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</si>
  <si>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</si>
  <si>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</si>
  <si>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</si>
  <si>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</si>
  <si>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</si>
  <si>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</si>
  <si>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</si>
  <si>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</si>
  <si>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</si>
  <si>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</si>
  <si>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</si>
  <si>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</si>
  <si>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</si>
  <si>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</si>
  <si>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</si>
  <si>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</si>
  <si>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</si>
  <si>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</si>
  <si>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</si>
  <si>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</si>
  <si>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</si>
  <si>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</si>
  <si>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</si>
  <si>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</si>
  <si>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</si>
  <si>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</si>
  <si>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</si>
  <si>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</si>
  <si>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</si>
  <si>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</si>
  <si>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</si>
  <si>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</si>
  <si>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</si>
  <si>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</si>
  <si>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</si>
  <si>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</si>
  <si>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</si>
  <si>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</si>
  <si>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</si>
  <si>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</si>
  <si>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</si>
  <si>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</si>
  <si>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</si>
  <si>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</si>
  <si>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</si>
  <si>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</si>
  <si>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</si>
  <si>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</si>
  <si>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</si>
  <si>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</si>
  <si>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</si>
  <si>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</si>
  <si>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</si>
  <si>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</si>
  <si>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</si>
  <si>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</si>
  <si>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</si>
  <si>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</si>
  <si>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</si>
  <si>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</si>
  <si>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</si>
  <si>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</si>
  <si>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</si>
  <si>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</si>
  <si>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</si>
  <si>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</si>
  <si>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</si>
  <si>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</si>
  <si>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</si>
  <si>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</si>
  <si>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</si>
  <si>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</si>
  <si>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</si>
  <si>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</si>
  <si>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</si>
  <si>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</si>
  <si>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</si>
  <si>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</si>
  <si>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</si>
  <si>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</si>
  <si>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</si>
  <si>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</si>
  <si>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</si>
  <si>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</si>
  <si>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</si>
  <si>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</si>
  <si>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</si>
  <si>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</si>
  <si>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</si>
  <si>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</si>
  <si>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</si>
  <si>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</si>
  <si>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</si>
  <si>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</si>
  <si>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</si>
  <si>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</si>
  <si>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</si>
  <si>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</si>
  <si>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</si>
  <si>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</si>
  <si>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</si>
  <si>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</si>
  <si>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</si>
  <si>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</si>
  <si>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</si>
  <si>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</si>
  <si>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</si>
  <si>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</si>
  <si>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</si>
  <si>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</si>
  <si>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</si>
  <si>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</si>
  <si>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</si>
  <si>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</si>
  <si>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</si>
  <si>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</si>
  <si>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</si>
  <si>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</si>
  <si>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</si>
  <si>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</si>
  <si>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</si>
  <si>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</si>
  <si>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</si>
  <si>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</si>
  <si>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</si>
  <si>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</si>
  <si>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</si>
  <si>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</si>
  <si>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</si>
  <si>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</si>
  <si>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</si>
  <si>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</si>
  <si>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</si>
  <si>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</si>
  <si>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</si>
  <si>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</si>
  <si>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</si>
  <si>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</si>
  <si>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</si>
  <si>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</si>
  <si>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</si>
  <si>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</si>
  <si>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</si>
  <si>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</si>
  <si>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</si>
  <si>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</si>
  <si>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</si>
  <si>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</si>
  <si>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</si>
  <si>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</si>
  <si>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</si>
  <si>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</si>
  <si>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</si>
  <si>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</si>
  <si>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</si>
  <si>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</si>
  <si>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</si>
  <si>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</si>
  <si>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</si>
  <si>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</si>
  <si>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</si>
  <si>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</si>
  <si>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</si>
  <si>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</si>
  <si>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</si>
  <si>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</si>
  <si>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</si>
  <si>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</si>
  <si>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</si>
  <si>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</si>
  <si>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</si>
  <si>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</si>
  <si>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</si>
  <si>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</si>
  <si>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</si>
  <si>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</si>
  <si>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</si>
  <si>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</si>
  <si>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</si>
  <si>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</si>
  <si>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</si>
  <si>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</si>
  <si>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</si>
  <si>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</si>
  <si>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</si>
  <si>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</si>
  <si>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</si>
  <si>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</si>
  <si>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</si>
  <si>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</si>
  <si>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</si>
  <si>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</si>
  <si>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</si>
  <si>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</si>
  <si>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</si>
  <si>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</si>
  <si>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</si>
  <si>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</si>
  <si>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</si>
  <si>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</si>
  <si>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</si>
  <si>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</si>
  <si>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</si>
  <si>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</si>
  <si>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</si>
  <si>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</si>
  <si>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</si>
  <si>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</si>
  <si>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</si>
  <si>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</si>
  <si>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</si>
  <si>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</si>
  <si>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</si>
  <si>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</si>
  <si>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</si>
  <si>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</si>
  <si>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</si>
  <si>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</si>
  <si>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</si>
  <si>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</si>
  <si>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</si>
  <si>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</si>
  <si>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</si>
  <si>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</si>
  <si>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</si>
  <si>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</si>
  <si>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</si>
  <si>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</si>
  <si>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</si>
  <si>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</si>
  <si>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</si>
  <si>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</si>
  <si>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</si>
  <si>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</si>
  <si>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</si>
  <si>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</si>
  <si>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</si>
  <si>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</si>
  <si>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</si>
  <si>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</si>
  <si>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</si>
  <si>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</si>
  <si>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</si>
  <si>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</si>
  <si>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</si>
  <si>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</si>
  <si>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</si>
  <si>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</si>
  <si>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</si>
  <si>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</si>
  <si>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</si>
  <si>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</si>
  <si>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</si>
  <si>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</si>
  <si>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</si>
  <si>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</si>
  <si>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</si>
  <si>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</si>
  <si>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</si>
  <si>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</si>
  <si>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</si>
  <si>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</si>
  <si>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</si>
  <si>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</si>
  <si>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</si>
  <si>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</si>
  <si>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</si>
  <si>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</si>
  <si>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</si>
  <si>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</si>
  <si>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</si>
  <si>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</si>
  <si>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</si>
  <si>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</si>
  <si>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</si>
  <si>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</si>
  <si>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</si>
  <si>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</si>
  <si>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</si>
  <si>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</si>
  <si>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</si>
  <si>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</si>
  <si>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</si>
  <si>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</si>
  <si>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</si>
  <si>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</si>
  <si>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</si>
  <si>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</si>
  <si>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</si>
  <si>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</si>
  <si>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</si>
  <si>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</si>
  <si>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</si>
  <si>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</si>
  <si>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</si>
  <si>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</si>
  <si>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</si>
  <si>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</si>
  <si>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</si>
  <si>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</si>
  <si>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</si>
  <si>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</si>
  <si>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</si>
  <si>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</si>
  <si>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</si>
  <si>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</si>
  <si>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</si>
  <si>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</si>
  <si>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</si>
  <si>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</si>
  <si>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</si>
  <si>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</si>
  <si>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</si>
  <si>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</si>
  <si>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</si>
  <si>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</si>
  <si>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</si>
  <si>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</si>
  <si>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</si>
  <si>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</si>
  <si>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</si>
  <si>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</si>
  <si>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</si>
  <si>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</si>
  <si>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</si>
  <si>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</si>
  <si>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</si>
  <si>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</si>
  <si>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</si>
  <si>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</si>
  <si>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</si>
  <si>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</si>
  <si>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</si>
  <si>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</si>
  <si>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</si>
  <si>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</si>
  <si>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</si>
  <si>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</si>
  <si>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</si>
  <si>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</si>
  <si>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</si>
  <si>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</si>
  <si>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</si>
  <si>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</si>
  <si>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</si>
  <si>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</si>
  <si>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</si>
  <si>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</si>
  <si>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</si>
  <si>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</si>
  <si>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</si>
  <si>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</si>
  <si>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</si>
  <si>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</si>
  <si>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</si>
  <si>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</si>
  <si>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</si>
  <si>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</si>
  <si>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</si>
  <si>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</si>
  <si>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</si>
  <si>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</si>
  <si>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</si>
  <si>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</si>
  <si>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</si>
  <si>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</si>
  <si>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</si>
  <si>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</si>
  <si>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</si>
  <si>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</si>
  <si>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</si>
  <si>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</si>
  <si>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</si>
  <si>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</si>
  <si>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</si>
  <si>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</si>
  <si>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</si>
  <si>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</si>
  <si>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</si>
  <si>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</si>
  <si>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</si>
  <si>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</si>
  <si>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</si>
  <si>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</si>
  <si>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</si>
  <si>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</si>
  <si>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</si>
  <si>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</si>
  <si>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</si>
  <si>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</si>
  <si>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</si>
  <si>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</si>
  <si>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</si>
  <si>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</si>
  <si>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</si>
  <si>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</si>
  <si>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</si>
  <si>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</si>
  <si>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</si>
  <si>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</si>
  <si>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</si>
  <si>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</si>
  <si>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</si>
  <si>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</si>
  <si>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</si>
  <si>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</si>
  <si>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</si>
  <si>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</si>
  <si>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</si>
  <si>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</si>
  <si>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</si>
  <si>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</si>
  <si>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</si>
  <si>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</si>
  <si>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</si>
  <si>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</si>
  <si>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</si>
  <si>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</si>
  <si>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</si>
  <si>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</si>
  <si>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</si>
  <si>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</si>
  <si>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</si>
  <si>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</si>
  <si>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</si>
  <si>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</si>
  <si>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</si>
  <si>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</si>
  <si>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</si>
  <si>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</si>
  <si>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</si>
  <si>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</si>
  <si>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</si>
  <si>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</si>
  <si>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</si>
  <si>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</si>
  <si>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</si>
  <si>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</si>
  <si>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</si>
  <si>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</si>
  <si>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</si>
  <si>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</si>
  <si>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</si>
  <si>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</si>
  <si>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</si>
  <si>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</si>
  <si>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</si>
  <si>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</si>
  <si>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</si>
  <si>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</si>
  <si>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</si>
  <si>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</si>
  <si>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</si>
  <si>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</si>
  <si>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</si>
  <si>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</si>
  <si>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</si>
  <si>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</si>
  <si>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</si>
  <si>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</si>
  <si>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</si>
  <si>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</si>
  <si>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</si>
  <si>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</si>
  <si>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</si>
  <si>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</si>
  <si>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</si>
  <si>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</si>
  <si>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</si>
  <si>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</si>
  <si>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</si>
  <si>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</si>
  <si>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</si>
  <si>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</si>
  <si>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</si>
  <si>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</si>
  <si>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</si>
  <si>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</si>
  <si>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</si>
  <si>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</si>
  <si>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</si>
  <si>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</si>
  <si>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</si>
  <si>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</si>
  <si>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</si>
  <si>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</si>
  <si>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</si>
  <si>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</si>
  <si>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</si>
  <si>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</si>
  <si>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</si>
  <si>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</si>
  <si>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</si>
  <si>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</si>
  <si>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</si>
  <si>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</si>
  <si>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</si>
  <si>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</si>
  <si>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</si>
  <si>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</si>
  <si>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</si>
  <si>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</si>
  <si>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</si>
  <si>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</si>
  <si>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</si>
  <si>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</si>
  <si>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</si>
  <si>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</si>
  <si>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</si>
  <si>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</si>
  <si>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</si>
  <si>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</si>
  <si>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</si>
  <si>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</si>
  <si>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</si>
  <si>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</si>
  <si>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</si>
  <si>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</si>
  <si>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</si>
  <si>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</si>
  <si>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</si>
  <si>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</si>
  <si>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</si>
  <si>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</si>
  <si>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</si>
  <si>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</si>
  <si>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</si>
  <si>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</si>
  <si>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</si>
  <si>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</si>
  <si>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</si>
  <si>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</si>
  <si>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</si>
  <si>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</si>
  <si>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</si>
  <si>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</si>
  <si>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</si>
  <si>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</si>
  <si>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</si>
  <si>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</si>
  <si>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</si>
  <si>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</si>
  <si>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</si>
  <si>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</si>
  <si>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</si>
  <si>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</si>
  <si>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</si>
  <si>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</si>
  <si>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</si>
  <si>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</si>
  <si>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</si>
  <si>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</si>
  <si>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</si>
  <si>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</si>
  <si>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</si>
  <si>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</si>
  <si>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</si>
  <si>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</si>
  <si>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</si>
  <si>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</si>
  <si>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</si>
  <si>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</si>
  <si>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</si>
  <si>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</si>
  <si>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</si>
  <si>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</si>
  <si>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</si>
  <si>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</si>
  <si>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</si>
  <si>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</si>
  <si>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</si>
  <si>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</si>
  <si>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</si>
  <si>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</si>
  <si>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</si>
  <si>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</si>
  <si>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</si>
  <si>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</si>
  <si>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</si>
  <si>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</si>
  <si>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</si>
  <si>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</si>
  <si>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</si>
  <si>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</si>
  <si>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</si>
  <si>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</si>
  <si>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</si>
  <si>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</si>
  <si>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</si>
  <si>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</si>
  <si>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</si>
  <si>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</si>
  <si>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</si>
  <si>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</si>
  <si>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</si>
  <si>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</si>
  <si>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</si>
  <si>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</si>
  <si>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</si>
  <si>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</si>
  <si>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</si>
  <si>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</si>
  <si>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</si>
  <si>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</si>
  <si>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</si>
  <si>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</si>
  <si>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</si>
  <si>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</si>
  <si>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</si>
  <si>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</si>
  <si>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</si>
  <si>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</si>
  <si>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</si>
  <si>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</si>
  <si>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</si>
  <si>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</si>
  <si>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</si>
  <si>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</si>
  <si>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</si>
  <si>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</si>
  <si>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</si>
  <si>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</si>
  <si>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</si>
  <si>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</si>
  <si>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</si>
  <si>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</si>
  <si>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</si>
  <si>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</si>
  <si>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</si>
  <si>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</si>
  <si>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</si>
  <si>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</si>
  <si>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</si>
  <si>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</si>
  <si>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</si>
  <si>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</si>
  <si>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</si>
  <si>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</si>
  <si>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</si>
  <si>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</si>
  <si>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</si>
  <si>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</si>
  <si>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</si>
  <si>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</si>
  <si>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</si>
  <si>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</si>
  <si>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</si>
  <si>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</si>
  <si>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</si>
  <si>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</si>
  <si>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</si>
  <si>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</si>
  <si>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</si>
  <si>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</si>
  <si>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</si>
  <si>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</si>
  <si>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</si>
  <si>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</si>
  <si>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</si>
  <si>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</si>
  <si>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</si>
  <si>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</si>
  <si>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</si>
  <si>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</si>
  <si>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</si>
  <si>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</si>
  <si>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</si>
  <si>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</si>
  <si>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</si>
  <si>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</si>
  <si>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</si>
  <si>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</si>
  <si>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</si>
  <si>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</si>
  <si>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</si>
  <si>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</si>
  <si>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</si>
  <si>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</si>
  <si>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</si>
  <si>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</si>
  <si>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</si>
  <si>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</si>
  <si>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</si>
  <si>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</si>
  <si>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</si>
  <si>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</si>
  <si>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</si>
  <si>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</si>
  <si>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</si>
  <si>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</si>
  <si>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</si>
  <si>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</si>
  <si>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</si>
  <si>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</si>
  <si>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</si>
  <si>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</si>
  <si>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</si>
  <si>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</si>
  <si>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</si>
  <si>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</si>
  <si>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</si>
  <si>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</si>
  <si>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</si>
  <si>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</si>
  <si>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</si>
  <si>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</si>
  <si>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</si>
  <si>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</si>
  <si>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</si>
  <si>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</si>
  <si>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</si>
  <si>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</si>
  <si>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</si>
  <si>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</si>
  <si>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</si>
  <si>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</si>
  <si>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</si>
  <si>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</si>
  <si>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</si>
  <si>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</si>
  <si>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</si>
  <si>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</si>
  <si>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</si>
  <si>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</si>
  <si>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</si>
  <si>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</si>
  <si>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</si>
  <si>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</si>
  <si>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</si>
  <si>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</si>
  <si>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</si>
  <si>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</si>
  <si>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</si>
  <si>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</si>
  <si>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</si>
  <si>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</si>
  <si>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</si>
  <si>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</si>
  <si>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</si>
  <si>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</si>
  <si>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</si>
  <si>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</si>
  <si>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</si>
  <si>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</si>
  <si>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</si>
  <si>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</si>
  <si>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</si>
  <si>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</si>
  <si>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</si>
  <si>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</si>
  <si>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</si>
  <si>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</si>
  <si>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</si>
  <si>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</si>
  <si>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</si>
  <si>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</si>
  <si>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</si>
  <si>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</si>
  <si>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</si>
  <si>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</si>
  <si>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</si>
  <si>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</si>
  <si>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</si>
  <si>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</si>
  <si>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</si>
  <si>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</si>
  <si>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</si>
  <si>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</si>
  <si>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</si>
  <si>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</si>
  <si>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</si>
  <si>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</si>
  <si>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</si>
  <si>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</si>
  <si>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</si>
  <si>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</si>
  <si>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</si>
  <si>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</si>
  <si>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</si>
  <si>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</si>
  <si>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</si>
  <si>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</si>
  <si>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</si>
  <si>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</si>
  <si>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</si>
  <si>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</si>
  <si>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</si>
  <si>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</si>
  <si>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</si>
  <si>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</si>
  <si>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</si>
  <si>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</si>
  <si>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</si>
  <si>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</si>
  <si>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</si>
  <si>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</si>
  <si>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</si>
  <si>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</si>
  <si>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</si>
  <si>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</si>
  <si>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</si>
  <si>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</si>
  <si>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</si>
  <si>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</si>
  <si>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</si>
  <si>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</si>
  <si>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</si>
  <si>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</si>
  <si>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</si>
  <si>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</si>
  <si>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</si>
  <si>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</si>
  <si>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</si>
  <si>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</si>
  <si>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</si>
  <si>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</si>
  <si>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</si>
  <si>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</si>
  <si>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</si>
  <si>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</si>
  <si>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</si>
  <si>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</si>
  <si>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</si>
  <si>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</si>
  <si>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</si>
  <si>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</si>
  <si>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</si>
  <si>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</si>
  <si>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</si>
  <si>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</si>
  <si>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</si>
  <si>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</si>
  <si>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</si>
  <si>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</si>
  <si>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</si>
  <si>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</si>
  <si>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</si>
  <si>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</si>
  <si>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</si>
  <si>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</si>
  <si>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</si>
  <si>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</si>
  <si>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</si>
  <si>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</si>
  <si>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</si>
  <si>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</si>
  <si>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</si>
  <si>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</si>
  <si>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</si>
  <si>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</si>
  <si>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</si>
  <si>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</si>
  <si>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</si>
  <si>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</si>
  <si>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</si>
  <si>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</si>
  <si>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</si>
  <si>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</si>
  <si>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</si>
  <si>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</si>
  <si>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</si>
  <si>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</si>
  <si>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</si>
  <si>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</si>
  <si>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</si>
  <si>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</si>
  <si>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</si>
  <si>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</si>
  <si>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</si>
  <si>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</si>
  <si>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</si>
  <si>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</si>
  <si>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</si>
  <si>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</si>
  <si>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</si>
  <si>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</si>
  <si>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</si>
  <si>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</si>
  <si>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</si>
  <si>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</si>
  <si>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</si>
  <si>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</si>
  <si>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</si>
  <si>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</si>
  <si>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</si>
  <si>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</si>
  <si>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</si>
  <si>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</si>
  <si>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</si>
  <si>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</si>
  <si>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</si>
  <si>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</si>
  <si>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</si>
  <si>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</si>
  <si>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</si>
  <si>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</si>
  <si>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</si>
  <si>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</si>
  <si>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</si>
  <si>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</si>
  <si>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</si>
  <si>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</si>
  <si>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</si>
  <si>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</si>
  <si>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</si>
  <si>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</si>
  <si>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</si>
  <si>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</si>
  <si>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</si>
  <si>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</si>
  <si>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</si>
  <si>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</si>
  <si>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</si>
  <si>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</si>
  <si>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</si>
  <si>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</si>
  <si>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</si>
  <si>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</si>
  <si>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</si>
  <si>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</si>
  <si>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</si>
  <si>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</si>
  <si>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</si>
  <si>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</si>
  <si>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</si>
  <si>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</si>
  <si>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</si>
  <si>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</si>
  <si>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</si>
  <si>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</si>
  <si>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</si>
  <si>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</si>
  <si>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</si>
  <si>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</si>
  <si>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</si>
  <si>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</si>
  <si>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</si>
  <si>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</si>
  <si>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</si>
  <si>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</si>
  <si>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</si>
  <si>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</si>
  <si>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</si>
  <si>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</si>
  <si>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</si>
  <si>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</si>
  <si>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</si>
  <si>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</si>
  <si>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</si>
  <si>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</si>
  <si>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</si>
  <si>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</si>
  <si>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</si>
  <si>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</si>
  <si>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</si>
  <si>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</si>
  <si>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</si>
  <si>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</si>
  <si>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</si>
  <si>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</si>
  <si>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</si>
  <si>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</si>
  <si>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</si>
  <si>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</si>
  <si>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</si>
  <si>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</si>
  <si>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</si>
  <si>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</si>
  <si>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</si>
  <si>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</si>
  <si>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</si>
  <si>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</si>
  <si>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</si>
  <si>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</si>
  <si>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</si>
  <si>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</si>
  <si>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</si>
  <si>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</si>
  <si>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</si>
  <si>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</si>
  <si>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</si>
  <si>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</si>
  <si>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</si>
  <si>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</si>
  <si>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</si>
  <si>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</si>
  <si>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</si>
  <si>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</si>
  <si>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</si>
  <si>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</si>
  <si>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</si>
  <si>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</si>
  <si>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</si>
  <si>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</si>
  <si>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</si>
  <si>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</si>
  <si>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</si>
  <si>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</si>
  <si>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</si>
  <si>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</si>
  <si>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</si>
  <si>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</si>
  <si>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</si>
  <si>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</si>
  <si>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</si>
  <si>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</si>
  <si>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</si>
  <si>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</si>
  <si>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</si>
  <si>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</si>
  <si>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</si>
  <si>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</si>
  <si>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</si>
  <si>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</si>
  <si>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</si>
  <si>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</si>
  <si>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</si>
  <si>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</si>
  <si>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</si>
  <si>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</si>
  <si>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</si>
  <si>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</si>
  <si>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</si>
  <si>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</si>
  <si>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</si>
  <si>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</si>
  <si>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</si>
  <si>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</si>
  <si>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</si>
  <si>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</si>
  <si>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</si>
  <si>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</si>
  <si>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</si>
  <si>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</si>
  <si>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</si>
  <si>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</si>
  <si>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</si>
  <si>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</si>
  <si>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</si>
  <si>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</si>
  <si>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</si>
  <si>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</si>
  <si>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</si>
  <si>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</si>
  <si>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</si>
  <si>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</si>
  <si>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</si>
  <si>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</si>
  <si>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</si>
  <si>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</si>
  <si>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</si>
  <si>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</si>
  <si>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</si>
  <si>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</si>
  <si>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</si>
  <si>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</si>
  <si>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</si>
  <si>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</si>
  <si>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</si>
  <si>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</si>
  <si>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</si>
  <si>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</si>
  <si>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</si>
  <si>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</si>
  <si>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</si>
  <si>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</si>
  <si>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</si>
  <si>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</si>
  <si>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</si>
  <si>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</si>
  <si>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</si>
  <si>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</si>
  <si>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</si>
  <si>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</si>
  <si>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</si>
  <si>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</si>
  <si>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</si>
  <si>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</si>
  <si>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</si>
  <si>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</si>
  <si>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</si>
  <si>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</si>
  <si>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</si>
  <si>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</si>
  <si>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</si>
  <si>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</si>
  <si>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</si>
  <si>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</si>
  <si>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</si>
  <si>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</si>
  <si>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</si>
  <si>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</si>
  <si>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</si>
  <si>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</si>
  <si>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</si>
  <si>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</si>
  <si>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</si>
  <si>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</si>
  <si>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</si>
  <si>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</si>
  <si>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</si>
  <si>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</si>
  <si>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</si>
  <si>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</si>
  <si>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</si>
  <si>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</si>
  <si>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</si>
  <si>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</si>
  <si>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</si>
  <si>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</si>
  <si>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</si>
  <si>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</si>
  <si>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</si>
  <si>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</si>
  <si>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</si>
  <si>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</si>
  <si>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</si>
  <si>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</si>
  <si>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</si>
  <si>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</si>
  <si>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</si>
  <si>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</si>
  <si>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</si>
  <si>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</si>
  <si>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</si>
  <si>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</si>
  <si>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</si>
  <si>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</si>
  <si>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</si>
  <si>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</si>
  <si>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</si>
  <si>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</si>
  <si>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</si>
  <si>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</si>
  <si>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</si>
  <si>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</si>
  <si>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</si>
  <si>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</si>
  <si>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</si>
  <si>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</si>
  <si>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</si>
  <si>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</si>
  <si>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</si>
  <si>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</si>
  <si>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</si>
  <si>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</si>
  <si>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</si>
  <si>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</si>
  <si>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</si>
  <si>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</si>
  <si>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</si>
  <si>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</si>
  <si>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</si>
  <si>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</si>
  <si>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</si>
  <si>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</si>
  <si>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</si>
  <si>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</si>
  <si>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</si>
  <si>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</si>
  <si>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</si>
  <si>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</si>
  <si>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</si>
  <si>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</si>
  <si>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</si>
  <si>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</si>
  <si>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</si>
  <si>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</si>
  <si>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</si>
  <si>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</si>
  <si>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</si>
  <si>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Values for Display</t>
  </si>
  <si>
    <t>Row Labels</t>
  </si>
  <si>
    <t>Grand Total</t>
  </si>
  <si>
    <t>Column Labels</t>
  </si>
  <si>
    <t>Female</t>
  </si>
  <si>
    <t>Male</t>
  </si>
  <si>
    <t>Other</t>
  </si>
  <si>
    <t>Unknown</t>
  </si>
  <si>
    <t>ForMatrix</t>
  </si>
  <si>
    <t>6 to 10</t>
  </si>
  <si>
    <t>More than 10</t>
  </si>
  <si>
    <t>Map Chart stuffs(Qty)</t>
  </si>
  <si>
    <t>Map Chart  for amount</t>
  </si>
  <si>
    <t>Jan</t>
  </si>
  <si>
    <t>Feb</t>
  </si>
  <si>
    <t>Mar</t>
  </si>
  <si>
    <t>For Trends</t>
  </si>
  <si>
    <t>Order Qty Analysis</t>
  </si>
  <si>
    <t>Products</t>
  </si>
  <si>
    <t>Gender</t>
  </si>
  <si>
    <t>Maps</t>
  </si>
  <si>
    <t>Duration</t>
  </si>
  <si>
    <t>Matrix</t>
  </si>
  <si>
    <t>Customer Staisfaction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</si>
</sst>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6"/>
      <color theme="1"/>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style="thin">
        <color theme="0"/>
      </left>
      <right style="thin">
        <color theme="0"/>
      </right>
      <top style="thin">
        <color theme="0"/>
      </top>
      <bottom style="thin">
        <color theme="0"/>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1" fillId="8" borderId="1" xfId="0" applyFont="1" applyFill="1" applyBorder="1"/>
    <xf numFmtId="0" fontId="0" fillId="0" borderId="0" xfId="0" pivotButton="1"/>
    <xf numFmtId="0" fontId="0" fillId="0" borderId="0" xfId="0" applyAlignment="1">
      <alignment horizontal="left"/>
    </xf>
    <xf numFmtId="38" fontId="0" fillId="0" borderId="0" xfId="0" applyNumberFormat="1"/>
    <xf numFmtId="0" fontId="0" fillId="0" borderId="2" xfId="0" applyBorder="1"/>
    <xf numFmtId="0" fontId="1" fillId="0" borderId="0" xfId="0" applyFont="1"/>
    <xf numFmtId="0" fontId="4" fillId="0" borderId="0" xfId="0" applyFont="1"/>
    <xf numFmtId="10" fontId="0" fillId="0" borderId="2" xfId="0" applyNumberFormat="1" applyBorder="1"/>
    <xf numFmtId="0" fontId="4" fillId="0" borderId="0" xfId="0" applyFont="1" applyAlignment="1">
      <alignment horizontal="left"/>
    </xf>
    <xf numFmtId="0" fontId="0" fillId="0" borderId="0" xfId="0" pivotButton="1" applyAlignment="1">
      <alignment vertical="center"/>
    </xf>
    <xf numFmtId="0" fontId="0" fillId="0" borderId="0" xfId="0" applyAlignment="1">
      <alignment vertical="center"/>
    </xf>
    <xf numFmtId="0" fontId="0" fillId="0" borderId="0" xfId="0" applyAlignment="1">
      <alignment horizontal="left" vertical="center"/>
    </xf>
    <xf numFmtId="10" fontId="0" fillId="0" borderId="0" xfId="0" applyNumberFormat="1" applyAlignment="1">
      <alignment vertical="center"/>
    </xf>
    <xf numFmtId="15" fontId="0" fillId="0" borderId="0" xfId="0" applyNumberFormat="1" applyAlignment="1">
      <alignment vertical="center"/>
    </xf>
    <xf numFmtId="0" fontId="0" fillId="9" borderId="0" xfId="0" applyFill="1"/>
  </cellXfs>
  <cellStyles count="2">
    <cellStyle name="Hyperlink" xfId="1" builtinId="8"/>
    <cellStyle name="Normal" xfId="0" builtinId="0"/>
  </cellStyles>
  <dxfs count="15">
    <dxf>
      <numFmt numFmtId="0" formatCode="General"/>
    </dxf>
    <dxf>
      <numFmt numFmtId="0" formatCode="General"/>
    </dxf>
    <dxf>
      <numFmt numFmtId="0" formatCode="General"/>
    </dxf>
    <dxf>
      <numFmt numFmtId="164" formatCode="d\-mmm\-yy"/>
    </dxf>
    <dxf>
      <numFmt numFmtId="164" formatCode="d\-mmm\-yy"/>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1" defaultTableStyle="TableStyleMedium2" defaultPivotStyle="PivotStyleLight16">
    <tableStyle name="Invisible" pivot="0" table="0" count="0" xr9:uid="{0A4985BB-140E-418F-8492-6324B8B8C662}"/>
  </tableStyles>
  <colors>
    <mruColors>
      <color rgb="FFE68900"/>
      <color rgb="FFEBF3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Last 13 Week Trends- Qty - Amount</a:t>
            </a:r>
          </a:p>
        </c:rich>
      </c:tx>
      <c:layout>
        <c:manualLayout>
          <c:xMode val="edge"/>
          <c:yMode val="edge"/>
          <c:x val="2.3756687817320784E-3"/>
          <c:y val="2.8553112000143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97579479328428"/>
          <c:y val="0.16041155108915614"/>
          <c:w val="0.72506064100282541"/>
          <c:h val="0.76565358685391105"/>
        </c:manualLayout>
      </c:layout>
      <c:lineChart>
        <c:grouping val="standard"/>
        <c:varyColors val="0"/>
        <c:ser>
          <c:idx val="0"/>
          <c:order val="0"/>
          <c:tx>
            <c:strRef>
              <c:f>Pivots!$B$8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#,##0_);[Red]\(#,##0\)</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470-4192-AFFA-F3626621057D}"/>
            </c:ext>
          </c:extLst>
        </c:ser>
        <c:dLbls>
          <c:showLegendKey val="0"/>
          <c:showVal val="0"/>
          <c:showCatName val="0"/>
          <c:showSerName val="0"/>
          <c:showPercent val="0"/>
          <c:showBubbleSize val="0"/>
        </c:dLbls>
        <c:marker val="1"/>
        <c:smooth val="0"/>
        <c:axId val="559428959"/>
        <c:axId val="559429439"/>
      </c:lineChart>
      <c:lineChart>
        <c:grouping val="standard"/>
        <c:varyColors val="0"/>
        <c:ser>
          <c:idx val="1"/>
          <c:order val="1"/>
          <c:tx>
            <c:strRef>
              <c:f>Pivots!$C$8</c:f>
              <c:strCache>
                <c:ptCount val="1"/>
                <c:pt idx="0">
                  <c:v>Sum of Amount</c:v>
                </c:pt>
              </c:strCache>
            </c:strRef>
          </c:tx>
          <c:spPr>
            <a:ln w="28575" cap="rnd">
              <a:solidFill>
                <a:schemeClr val="accent2"/>
              </a:solidFill>
              <a:round/>
            </a:ln>
            <a:effectLst/>
          </c:spPr>
          <c:marker>
            <c:symbol val="none"/>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470-4192-AFFA-F3626621057D}"/>
            </c:ext>
          </c:extLst>
        </c:ser>
        <c:dLbls>
          <c:showLegendKey val="0"/>
          <c:showVal val="0"/>
          <c:showCatName val="0"/>
          <c:showSerName val="0"/>
          <c:showPercent val="0"/>
          <c:showBubbleSize val="0"/>
        </c:dLbls>
        <c:marker val="1"/>
        <c:smooth val="0"/>
        <c:axId val="431243871"/>
        <c:axId val="410710815"/>
      </c:lineChart>
      <c:catAx>
        <c:axId val="5594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29439"/>
        <c:crosses val="autoZero"/>
        <c:auto val="1"/>
        <c:lblAlgn val="ctr"/>
        <c:lblOffset val="100"/>
        <c:noMultiLvlLbl val="0"/>
      </c:catAx>
      <c:valAx>
        <c:axId val="55942943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28959"/>
        <c:crosses val="autoZero"/>
        <c:crossBetween val="between"/>
      </c:valAx>
      <c:valAx>
        <c:axId val="4107108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43871"/>
        <c:crosses val="max"/>
        <c:crossBetween val="between"/>
      </c:valAx>
      <c:catAx>
        <c:axId val="431243871"/>
        <c:scaling>
          <c:orientation val="minMax"/>
        </c:scaling>
        <c:delete val="1"/>
        <c:axPos val="b"/>
        <c:numFmt formatCode="General" sourceLinked="1"/>
        <c:majorTickMark val="out"/>
        <c:minorTickMark val="none"/>
        <c:tickLblPos val="nextTo"/>
        <c:crossAx val="410710815"/>
        <c:crosses val="autoZero"/>
        <c:auto val="1"/>
        <c:lblAlgn val="ctr"/>
        <c:lblOffset val="100"/>
        <c:noMultiLvlLbl val="0"/>
      </c:catAx>
      <c:spPr>
        <a:noFill/>
        <a:ln>
          <a:noFill/>
        </a:ln>
        <a:effectLst/>
      </c:spPr>
    </c:plotArea>
    <c:legend>
      <c:legendPos val="t"/>
      <c:layout>
        <c:manualLayout>
          <c:xMode val="edge"/>
          <c:yMode val="edge"/>
          <c:x val="0.62324616468511773"/>
          <c:y val="0"/>
          <c:w val="0.36342817301761815"/>
          <c:h val="0.14039436724710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they buy?</a:t>
            </a:r>
          </a:p>
        </c:rich>
      </c:tx>
      <c:layout>
        <c:manualLayout>
          <c:xMode val="edge"/>
          <c:yMode val="edge"/>
          <c:x val="9.1604793611851767E-2"/>
          <c:y val="2.61590394071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4754410906969961"/>
          <c:w val="0.83632458442694668"/>
          <c:h val="0.65385498687664045"/>
        </c:manualLayout>
      </c:layout>
      <c:barChart>
        <c:barDir val="col"/>
        <c:grouping val="clustered"/>
        <c:varyColors val="0"/>
        <c:ser>
          <c:idx val="0"/>
          <c:order val="0"/>
          <c:tx>
            <c:strRef>
              <c:f>Pivots!$B$36</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Pivots!$A$37:$A$44</c:f>
              <c:strCache>
                <c:ptCount val="7"/>
                <c:pt idx="0">
                  <c:v>1</c:v>
                </c:pt>
                <c:pt idx="1">
                  <c:v>2</c:v>
                </c:pt>
                <c:pt idx="2">
                  <c:v>3</c:v>
                </c:pt>
                <c:pt idx="3">
                  <c:v>4</c:v>
                </c:pt>
                <c:pt idx="4">
                  <c:v>5</c:v>
                </c:pt>
                <c:pt idx="5">
                  <c:v>6 to 10</c:v>
                </c:pt>
                <c:pt idx="6">
                  <c:v>More than 10</c:v>
                </c:pt>
              </c:strCache>
            </c:strRef>
          </c:cat>
          <c:val>
            <c:numRef>
              <c:f>Pivots!$B$37:$B$44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EE9-4BC7-B981-60EF0963B19B}"/>
            </c:ext>
          </c:extLst>
        </c:ser>
        <c:dLbls>
          <c:showLegendKey val="0"/>
          <c:showVal val="1"/>
          <c:showCatName val="0"/>
          <c:showSerName val="0"/>
          <c:showPercent val="0"/>
          <c:showBubbleSize val="0"/>
        </c:dLbls>
        <c:gapWidth val="0"/>
        <c:overlap val="-27"/>
        <c:axId val="564038111"/>
        <c:axId val="564037631"/>
      </c:barChart>
      <c:catAx>
        <c:axId val="56403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37631"/>
        <c:crosses val="autoZero"/>
        <c:auto val="1"/>
        <c:lblAlgn val="ctr"/>
        <c:lblOffset val="100"/>
        <c:noMultiLvlLbl val="0"/>
      </c:catAx>
      <c:valAx>
        <c:axId val="56403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38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[ecommerce-blank.xlsx]Pivots!pvtDuration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to ship?</a:t>
            </a:r>
            <a:endParaRPr lang="en-US"/>
          </a:p>
        </c:rich>
      </c:tx>
      <c:layout>
        <c:manualLayout>
          <c:xMode val="edge"/>
          <c:yMode val="edge"/>
          <c:x val="0.11710428185117357"/>
          <c:y val="4.83306898363359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81395701658156"/>
          <c:y val="0.2081638749769649"/>
          <c:w val="0.76300665730061956"/>
          <c:h val="0.66208718486048768"/>
        </c:manualLayout>
      </c:layout>
      <c:barChart>
        <c:barDir val="col"/>
        <c:grouping val="clustered"/>
        <c:varyColors val="0"/>
        <c:ser>
          <c:idx val="0"/>
          <c:order val="0"/>
          <c:tx>
            <c:strRef>
              <c:f>Pivots!$B$145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Pivots!$A$146:$A$161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Pivots!$B$146:$B$161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A0F-48FA-95B6-5A5CFEE57566}"/>
            </c:ext>
          </c:extLst>
        </c:ser>
        <c:dLbls>
          <c:dLblPos val="outEnd"/>
          <c:showLegendKey val="0"/>
          <c:showVal val="1"/>
          <c:showCatName val="0"/>
          <c:showSerName val="0"/>
          <c:showPercent val="0"/>
          <c:showBubbleSize val="0"/>
        </c:dLbls>
        <c:gapWidth val="10"/>
        <c:overlap val="-27"/>
        <c:axId val="431864495"/>
        <c:axId val="431858735"/>
      </c:barChart>
      <c:catAx>
        <c:axId val="43186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858735"/>
        <c:crosses val="autoZero"/>
        <c:auto val="1"/>
        <c:lblAlgn val="ctr"/>
        <c:lblOffset val="100"/>
        <c:noMultiLvlLbl val="0"/>
      </c:catAx>
      <c:valAx>
        <c:axId val="43185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864495"/>
        <c:crosses val="autoZero"/>
        <c:crossBetween val="between"/>
      </c:valAx>
      <c:spPr>
        <a:noFill/>
        <a:ln>
          <a:noFill/>
        </a:ln>
        <a:effectLst/>
      </c:spPr>
    </c:plotArea>
    <c:legend>
      <c:legendPos val="r"/>
      <c:layout>
        <c:manualLayout>
          <c:xMode val="edge"/>
          <c:yMode val="edge"/>
          <c:x val="0.80651270784170126"/>
          <c:y val="4.7889275715074252E-2"/>
          <c:w val="0.14236167846583667"/>
          <c:h val="8.89844231379264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[ecommerce-blank.xlsx]Pivots!pvtRating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satisfied are our customers?</a:t>
            </a:r>
          </a:p>
        </c:rich>
      </c:tx>
      <c:layout>
        <c:manualLayout>
          <c:xMode val="edge"/>
          <c:yMode val="edge"/>
          <c:x val="8.0068391849500251E-2"/>
          <c:y val="4.0970422949335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6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Pivots!$B$165:$B$166</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Pivots!$A$167:$A$170</c:f>
              <c:strCache>
                <c:ptCount val="3"/>
                <c:pt idx="0">
                  <c:v>Jan</c:v>
                </c:pt>
                <c:pt idx="1">
                  <c:v>Feb</c:v>
                </c:pt>
                <c:pt idx="2">
                  <c:v>Mar</c:v>
                </c:pt>
              </c:strCache>
            </c:strRef>
          </c:cat>
          <c:val>
            <c:numRef>
              <c:f>Pivots!$B$167:$B$170</c:f>
              <c:numCache>
                <c:formatCode>General</c:formatCode>
                <c:ptCount val="3"/>
                <c:pt idx="0">
                  <c:v>7</c:v>
                </c:pt>
                <c:pt idx="1">
                  <c:v>8</c:v>
                </c:pt>
                <c:pt idx="2">
                  <c:v>6</c:v>
                </c:pt>
              </c:numCache>
            </c:numRef>
          </c:val>
          <c:extLst>
            <c:ext xmlns:c16="http://schemas.microsoft.com/office/drawing/2014/chart" uri="{C3380CC4-5D6E-409C-BE32-E72D297353CC}">
              <c16:uniqueId val="{00000000-B74A-4855-8434-6ACD997B6F83}"/>
            </c:ext>
          </c:extLst>
        </c:ser>
        <c:ser>
          <c:idx val="1"/>
          <c:order val="1"/>
          <c:tx>
            <c:strRef>
              <c:f>Pivots!$C$165:$C$166</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Pivots!$A$167:$A$170</c:f>
              <c:strCache>
                <c:ptCount val="3"/>
                <c:pt idx="0">
                  <c:v>Jan</c:v>
                </c:pt>
                <c:pt idx="1">
                  <c:v>Feb</c:v>
                </c:pt>
                <c:pt idx="2">
                  <c:v>Mar</c:v>
                </c:pt>
              </c:strCache>
            </c:strRef>
          </c:cat>
          <c:val>
            <c:numRef>
              <c:f>Pivots!$C$167:$C$170</c:f>
              <c:numCache>
                <c:formatCode>General</c:formatCode>
                <c:ptCount val="3"/>
                <c:pt idx="0">
                  <c:v>37</c:v>
                </c:pt>
                <c:pt idx="1">
                  <c:v>51</c:v>
                </c:pt>
                <c:pt idx="2">
                  <c:v>39</c:v>
                </c:pt>
              </c:numCache>
            </c:numRef>
          </c:val>
          <c:extLst>
            <c:ext xmlns:c16="http://schemas.microsoft.com/office/drawing/2014/chart" uri="{C3380CC4-5D6E-409C-BE32-E72D297353CC}">
              <c16:uniqueId val="{00000001-B74A-4855-8434-6ACD997B6F83}"/>
            </c:ext>
          </c:extLst>
        </c:ser>
        <c:ser>
          <c:idx val="2"/>
          <c:order val="2"/>
          <c:tx>
            <c:strRef>
              <c:f>Pivots!$D$165:$D$166</c:f>
              <c:strCache>
                <c:ptCount val="1"/>
                <c:pt idx="0">
                  <c:v>3</c:v>
                </c:pt>
              </c:strCache>
            </c:strRef>
          </c:tx>
          <c:spPr>
            <a:solidFill>
              <a:srgbClr val="E68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Pivots!$A$167:$A$170</c:f>
              <c:strCache>
                <c:ptCount val="3"/>
                <c:pt idx="0">
                  <c:v>Jan</c:v>
                </c:pt>
                <c:pt idx="1">
                  <c:v>Feb</c:v>
                </c:pt>
                <c:pt idx="2">
                  <c:v>Mar</c:v>
                </c:pt>
              </c:strCache>
            </c:strRef>
          </c:cat>
          <c:val>
            <c:numRef>
              <c:f>Pivots!$D$167:$D$170</c:f>
              <c:numCache>
                <c:formatCode>General</c:formatCode>
                <c:ptCount val="3"/>
                <c:pt idx="0">
                  <c:v>150</c:v>
                </c:pt>
                <c:pt idx="1">
                  <c:v>182</c:v>
                </c:pt>
                <c:pt idx="2">
                  <c:v>163</c:v>
                </c:pt>
              </c:numCache>
            </c:numRef>
          </c:val>
          <c:extLst>
            <c:ext xmlns:c16="http://schemas.microsoft.com/office/drawing/2014/chart" uri="{C3380CC4-5D6E-409C-BE32-E72D297353CC}">
              <c16:uniqueId val="{00000002-B74A-4855-8434-6ACD997B6F83}"/>
            </c:ext>
          </c:extLst>
        </c:ser>
        <c:ser>
          <c:idx val="3"/>
          <c:order val="3"/>
          <c:tx>
            <c:strRef>
              <c:f>Pivots!$E$165:$E$166</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Pivots!$A$167:$A$170</c:f>
              <c:strCache>
                <c:ptCount val="3"/>
                <c:pt idx="0">
                  <c:v>Jan</c:v>
                </c:pt>
                <c:pt idx="1">
                  <c:v>Feb</c:v>
                </c:pt>
                <c:pt idx="2">
                  <c:v>Mar</c:v>
                </c:pt>
              </c:strCache>
            </c:strRef>
          </c:cat>
          <c:val>
            <c:numRef>
              <c:f>Pivots!$E$167:$E$170</c:f>
              <c:numCache>
                <c:formatCode>General</c:formatCode>
                <c:ptCount val="3"/>
                <c:pt idx="0">
                  <c:v>312</c:v>
                </c:pt>
                <c:pt idx="1">
                  <c:v>373</c:v>
                </c:pt>
                <c:pt idx="2">
                  <c:v>351</c:v>
                </c:pt>
              </c:numCache>
            </c:numRef>
          </c:val>
          <c:extLst>
            <c:ext xmlns:c16="http://schemas.microsoft.com/office/drawing/2014/chart" uri="{C3380CC4-5D6E-409C-BE32-E72D297353CC}">
              <c16:uniqueId val="{00000006-B74A-4855-8434-6ACD997B6F83}"/>
            </c:ext>
          </c:extLst>
        </c:ser>
        <c:ser>
          <c:idx val="4"/>
          <c:order val="4"/>
          <c:tx>
            <c:strRef>
              <c:f>Pivots!$F$165:$F$166</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Pivots!$A$167:$A$170</c:f>
              <c:strCache>
                <c:ptCount val="3"/>
                <c:pt idx="0">
                  <c:v>Jan</c:v>
                </c:pt>
                <c:pt idx="1">
                  <c:v>Feb</c:v>
                </c:pt>
                <c:pt idx="2">
                  <c:v>Mar</c:v>
                </c:pt>
              </c:strCache>
            </c:strRef>
          </c:cat>
          <c:val>
            <c:numRef>
              <c:f>Pivots!$F$167:$F$170</c:f>
              <c:numCache>
                <c:formatCode>General</c:formatCode>
                <c:ptCount val="3"/>
                <c:pt idx="0">
                  <c:v>224</c:v>
                </c:pt>
                <c:pt idx="1">
                  <c:v>247</c:v>
                </c:pt>
                <c:pt idx="2">
                  <c:v>250</c:v>
                </c:pt>
              </c:numCache>
            </c:numRef>
          </c:val>
          <c:extLst>
            <c:ext xmlns:c16="http://schemas.microsoft.com/office/drawing/2014/chart" uri="{C3380CC4-5D6E-409C-BE32-E72D297353CC}">
              <c16:uniqueId val="{00000008-B74A-4855-8434-6ACD997B6F83}"/>
            </c:ext>
          </c:extLst>
        </c:ser>
        <c:dLbls>
          <c:dLblPos val="outEnd"/>
          <c:showLegendKey val="0"/>
          <c:showVal val="1"/>
          <c:showCatName val="0"/>
          <c:showSerName val="0"/>
          <c:showPercent val="0"/>
          <c:showBubbleSize val="0"/>
        </c:dLbls>
        <c:gapWidth val="219"/>
        <c:overlap val="-27"/>
        <c:axId val="2094360223"/>
        <c:axId val="431860655"/>
      </c:barChart>
      <c:catAx>
        <c:axId val="209436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860655"/>
        <c:crosses val="autoZero"/>
        <c:auto val="1"/>
        <c:lblAlgn val="ctr"/>
        <c:lblOffset val="100"/>
        <c:noMultiLvlLbl val="0"/>
      </c:catAx>
      <c:valAx>
        <c:axId val="43186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6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[ecommerce-blank.xlsx]Pivots!pvtProducts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Which</a:t>
            </a:r>
            <a:r>
              <a:rPr lang="en-IN" baseline="0"/>
              <a:t> Products are popular? Breakdown by Gender</a:t>
            </a:r>
            <a:endParaRPr lang="en-IN"/>
          </a:p>
        </c:rich>
      </c:tx>
      <c:layout>
        <c:manualLayout>
          <c:xMode val="edge"/>
          <c:yMode val="edge"/>
          <c:x val="4.7355343354095513E-4"/>
          <c:y val="1.1105929801341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6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Pivots!$B$56:$B$57</c:f>
              <c:strCache>
                <c:ptCount val="1"/>
                <c:pt idx="0">
                  <c:v>Female</c:v>
                </c:pt>
              </c:strCache>
            </c:strRef>
          </c:tx>
          <c:spPr>
            <a:solidFill>
              <a:schemeClr val="accent1"/>
            </a:solidFill>
            <a:ln>
              <a:noFill/>
            </a:ln>
            <a:effectLst/>
          </c:spPr>
          <c:invertIfNegative val="0"/>
          <c:cat>
            <c:strRef>
              <c:f>Pivots!$A$58:$A$78</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Pivots!$B$58:$B$78</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0-85D7-415C-B3A9-9A62101BEF37}"/>
            </c:ext>
          </c:extLst>
        </c:ser>
        <c:ser>
          <c:idx val="1"/>
          <c:order val="1"/>
          <c:tx>
            <c:strRef>
              <c:f>Pivots!$C$56:$C$57</c:f>
              <c:strCache>
                <c:ptCount val="1"/>
                <c:pt idx="0">
                  <c:v>Male</c:v>
                </c:pt>
              </c:strCache>
            </c:strRef>
          </c:tx>
          <c:spPr>
            <a:solidFill>
              <a:srgbClr val="E68900"/>
            </a:solidFill>
            <a:ln>
              <a:noFill/>
            </a:ln>
            <a:effectLst/>
          </c:spPr>
          <c:invertIfNegative val="0"/>
          <c:cat>
            <c:strRef>
              <c:f>Pivots!$A$58:$A$78</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Pivots!$C$58:$C$78</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1-85D7-415C-B3A9-9A62101BEF37}"/>
            </c:ext>
          </c:extLst>
        </c:ser>
        <c:ser>
          <c:idx val="2"/>
          <c:order val="2"/>
          <c:tx>
            <c:strRef>
              <c:f>Pivots!$D$56:$D$57</c:f>
              <c:strCache>
                <c:ptCount val="1"/>
                <c:pt idx="0">
                  <c:v>Other</c:v>
                </c:pt>
              </c:strCache>
            </c:strRef>
          </c:tx>
          <c:spPr>
            <a:solidFill>
              <a:schemeClr val="accent2">
                <a:lumMod val="75000"/>
              </a:schemeClr>
            </a:solidFill>
            <a:ln>
              <a:noFill/>
            </a:ln>
            <a:effectLst/>
          </c:spPr>
          <c:invertIfNegative val="0"/>
          <c:cat>
            <c:strRef>
              <c:f>Pivots!$A$58:$A$78</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Pivots!$D$58:$D$78</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2-85D7-415C-B3A9-9A62101BEF37}"/>
            </c:ext>
          </c:extLst>
        </c:ser>
        <c:ser>
          <c:idx val="3"/>
          <c:order val="3"/>
          <c:tx>
            <c:strRef>
              <c:f>Pivots!$E$56:$E$57</c:f>
              <c:strCache>
                <c:ptCount val="1"/>
                <c:pt idx="0">
                  <c:v>Unknown</c:v>
                </c:pt>
              </c:strCache>
            </c:strRef>
          </c:tx>
          <c:spPr>
            <a:solidFill>
              <a:schemeClr val="accent4">
                <a:lumMod val="60000"/>
                <a:lumOff val="40000"/>
              </a:schemeClr>
            </a:solidFill>
            <a:ln>
              <a:noFill/>
            </a:ln>
            <a:effectLst/>
          </c:spPr>
          <c:invertIfNegative val="0"/>
          <c:cat>
            <c:strRef>
              <c:f>Pivots!$A$58:$A$78</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Pivots!$E$58:$E$78</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3-85D7-415C-B3A9-9A62101BEF37}"/>
            </c:ext>
          </c:extLst>
        </c:ser>
        <c:dLbls>
          <c:showLegendKey val="0"/>
          <c:showVal val="0"/>
          <c:showCatName val="0"/>
          <c:showSerName val="0"/>
          <c:showPercent val="0"/>
          <c:showBubbleSize val="0"/>
        </c:dLbls>
        <c:gapWidth val="10"/>
        <c:overlap val="100"/>
        <c:axId val="939512799"/>
        <c:axId val="939508959"/>
      </c:barChart>
      <c:catAx>
        <c:axId val="93951279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08959"/>
        <c:crosses val="autoZero"/>
        <c:auto val="1"/>
        <c:lblAlgn val="ctr"/>
        <c:lblOffset val="100"/>
        <c:noMultiLvlLbl val="0"/>
      </c:catAx>
      <c:valAx>
        <c:axId val="93950895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12799"/>
        <c:crosses val="autoZero"/>
        <c:crossBetween val="between"/>
      </c:valAx>
      <c:spPr>
        <a:noFill/>
        <a:ln w="6350">
          <a:solidFill>
            <a:schemeClr val="tx1">
              <a:lumMod val="15000"/>
              <a:lumOff val="8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[ecommerce-blank.xlsx]Pivots!pvtGender</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c:spPr>
        <c:dLbl>
          <c:idx val="0"/>
          <c:layout>
            <c:manualLayout>
              <c:x val="7.5022322933504665E-2"/>
              <c:y val="0.319027231656134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195711146447756"/>
                  <c:h val="0.31672485352383639"/>
                </c:manualLayout>
              </c15:layout>
            </c:ext>
          </c:extLst>
        </c:dLbl>
      </c:pivotFmt>
      <c:pivotFmt>
        <c:idx val="8"/>
        <c:spPr>
          <a:solidFill>
            <a:srgbClr val="E68900"/>
          </a:solidFill>
          <a:ln w="19050">
            <a:solidFill>
              <a:schemeClr val="lt1"/>
            </a:solidFill>
          </a:ln>
          <a:effectLst/>
        </c:spPr>
        <c:dLbl>
          <c:idx val="0"/>
          <c:layout>
            <c:manualLayout>
              <c:x val="-6.2584446031536858E-2"/>
              <c:y val="0.26857699863252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010327954343072"/>
                  <c:h val="0.32977909963895335"/>
                </c:manualLayout>
              </c15:layout>
            </c:ext>
          </c:extLst>
        </c:dLbl>
      </c:pivotFmt>
      <c:pivotFmt>
        <c:idx val="9"/>
        <c:spPr>
          <a:solidFill>
            <a:schemeClr val="accent1"/>
          </a:solidFill>
          <a:ln w="19050">
            <a:solidFill>
              <a:schemeClr val="lt1"/>
            </a:solidFill>
          </a:ln>
          <a:effectLst/>
        </c:spPr>
        <c:dLbl>
          <c:idx val="0"/>
          <c:layout>
            <c:manualLayout>
              <c:x val="-0.1663591719228846"/>
              <c:y val="-0.1374808208726548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5688820007739142"/>
                  <c:h val="0.27041820158831154"/>
                </c:manualLayout>
              </c15:layout>
            </c:ext>
          </c:extLst>
        </c:dLbl>
      </c:pivotFmt>
      <c:pivotFmt>
        <c:idx val="10"/>
        <c:spPr>
          <a:solidFill>
            <a:schemeClr val="accent1"/>
          </a:solidFill>
          <a:ln w="19050">
            <a:solidFill>
              <a:schemeClr val="lt1"/>
            </a:solidFill>
          </a:ln>
          <a:effectLst/>
        </c:spPr>
        <c:dLbl>
          <c:idx val="0"/>
          <c:layout>
            <c:manualLayout>
              <c:x val="0.40609732426841483"/>
              <c:y val="-7.36149425291000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016440994889608"/>
                  <c:h val="0.33502064471515414"/>
                </c:manualLayout>
              </c15:layout>
            </c:ext>
          </c:extLst>
        </c:dLbl>
      </c:pivotFmt>
    </c:pivotFmts>
    <c:plotArea>
      <c:layout/>
      <c:doughnutChart>
        <c:varyColors val="1"/>
        <c:ser>
          <c:idx val="0"/>
          <c:order val="0"/>
          <c:tx>
            <c:strRef>
              <c:f>Pivots!$B$48</c:f>
              <c:strCache>
                <c:ptCount val="1"/>
                <c:pt idx="0">
                  <c:v>Total</c:v>
                </c:pt>
              </c:strCache>
            </c:strRef>
          </c:tx>
          <c:dPt>
            <c:idx val="0"/>
            <c:bubble3D val="0"/>
            <c:spPr>
              <a:solidFill>
                <a:schemeClr val="accent1"/>
              </a:solidFill>
              <a:ln w="25400">
                <a:solidFill>
                  <a:schemeClr val="lt1"/>
                </a:solidFill>
              </a:ln>
              <a:effectLst/>
            </c:spPr>
            <c:extLst>
              <c:ext xmlns:c16="http://schemas.microsoft.com/office/drawing/2014/chart" uri="{C3380CC4-5D6E-409C-BE32-E72D297353CC}">
                <c16:uniqueId val="{00000001-C549-4056-8A10-4FEBEE596C89}"/>
              </c:ext>
            </c:extLst>
          </c:dPt>
          <c:dPt>
            <c:idx val="1"/>
            <c:bubble3D val="0"/>
            <c:spPr>
              <a:solidFill>
                <a:srgbClr val="E68900"/>
              </a:solidFill>
              <a:ln w="19050">
                <a:solidFill>
                  <a:schemeClr val="lt1"/>
                </a:solidFill>
              </a:ln>
              <a:effectLst/>
            </c:spPr>
            <c:extLst>
              <c:ext xmlns:c16="http://schemas.microsoft.com/office/drawing/2014/chart" uri="{C3380CC4-5D6E-409C-BE32-E72D297353CC}">
                <c16:uniqueId val="{00000003-C549-4056-8A10-4FEBEE596C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49-4056-8A10-4FEBEE596C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49-4056-8A10-4FEBEE596C89}"/>
              </c:ext>
            </c:extLst>
          </c:dPt>
          <c:dLbls>
            <c:dLbl>
              <c:idx val="0"/>
              <c:layout>
                <c:manualLayout>
                  <c:x val="7.5022322933504665E-2"/>
                  <c:y val="0.319027231656134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195711146447756"/>
                      <c:h val="0.31672485352383639"/>
                    </c:manualLayout>
                  </c15:layout>
                </c:ext>
                <c:ext xmlns:c16="http://schemas.microsoft.com/office/drawing/2014/chart" uri="{C3380CC4-5D6E-409C-BE32-E72D297353CC}">
                  <c16:uniqueId val="{00000001-C549-4056-8A10-4FEBEE596C89}"/>
                </c:ext>
              </c:extLst>
            </c:dLbl>
            <c:dLbl>
              <c:idx val="1"/>
              <c:layout>
                <c:manualLayout>
                  <c:x val="-6.2584446031536858E-2"/>
                  <c:y val="0.26857699863252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010327954343072"/>
                      <c:h val="0.32977909963895335"/>
                    </c:manualLayout>
                  </c15:layout>
                </c:ext>
                <c:ext xmlns:c16="http://schemas.microsoft.com/office/drawing/2014/chart" uri="{C3380CC4-5D6E-409C-BE32-E72D297353CC}">
                  <c16:uniqueId val="{00000003-C549-4056-8A10-4FEBEE596C89}"/>
                </c:ext>
              </c:extLst>
            </c:dLbl>
            <c:dLbl>
              <c:idx val="2"/>
              <c:layout>
                <c:manualLayout>
                  <c:x val="-0.1663591719228846"/>
                  <c:y val="-0.1374808208726548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5688820007739142"/>
                      <c:h val="0.27041820158831154"/>
                    </c:manualLayout>
                  </c15:layout>
                </c:ext>
                <c:ext xmlns:c16="http://schemas.microsoft.com/office/drawing/2014/chart" uri="{C3380CC4-5D6E-409C-BE32-E72D297353CC}">
                  <c16:uniqueId val="{00000005-C549-4056-8A10-4FEBEE596C89}"/>
                </c:ext>
              </c:extLst>
            </c:dLbl>
            <c:dLbl>
              <c:idx val="3"/>
              <c:layout>
                <c:manualLayout>
                  <c:x val="0.40609732426841483"/>
                  <c:y val="-7.36149425291000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016440994889608"/>
                      <c:h val="0.33502064471515414"/>
                    </c:manualLayout>
                  </c15:layout>
                </c:ext>
                <c:ext xmlns:c16="http://schemas.microsoft.com/office/drawing/2014/chart" uri="{C3380CC4-5D6E-409C-BE32-E72D297353CC}">
                  <c16:uniqueId val="{00000007-C549-4056-8A10-4FEBEE596C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Pivots!$A$49:$A$53</c:f>
              <c:strCache>
                <c:ptCount val="4"/>
                <c:pt idx="0">
                  <c:v>Female</c:v>
                </c:pt>
                <c:pt idx="1">
                  <c:v>Male</c:v>
                </c:pt>
                <c:pt idx="2">
                  <c:v>Other</c:v>
                </c:pt>
                <c:pt idx="3">
                  <c:v>Unknown</c:v>
                </c:pt>
              </c:strCache>
            </c:strRef>
          </c:cat>
          <c:val>
            <c:numRef>
              <c:f>Pivots!$B$49:$B$53</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C549-4056-8A10-4FEBEE596C89}"/>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EAB350C6-0D09-4540-8475-2C40287A1238}">
          <cx:tx>
            <cx:txData>
              <cx:f>_xlchart.v5.2</cx:f>
              <cx:v>Quantity</cx:v>
            </cx:txData>
          </cx:tx>
          <cx:spPr>
            <a:solidFill>
              <a:srgbClr val="002060"/>
            </a:solidFill>
            <a:ln>
              <a:solidFill>
                <a:schemeClr val="tx1"/>
              </a:solidFill>
            </a:ln>
          </cx:spPr>
          <cx:dataId val="0"/>
          <cx:layoutPr>
            <cx:geography cultureLanguage="en-US" cultureRegion="IN" attribution="Powered by Bing">
              <cx:geoCache provider="{E9337A44-BEBE-4D9F-B70C-5C5E7DAFC167}">
                <cx:binary>7F3ZcttIsv0Vh58v1LUAKNTE9EQ0AJKiVtuy3e1+QdCSjH3f8fX3QJI9Ikh5oAjzYXgv3R0dbiLB
BE5VVubJrKx/3nb/uI3uN8WbLo6S8h+33e9vvarK/vHbb+Wtdx9vypPYvy3SMv1Wndym8W/pt2/+
7f1vd8Wm9RP3N0ao+tuttymq++7tv/6Ju7n36UV6u6n8NHlf3xf9h/uyjqryJ9/t/erN5i72E9sv
q8K/rejvb61N5H9Li8TfvN3+jj18t2nui035xkrrpOrfvrlPKr/qP/bZ/e9vt+7E3r75bfqDO8q9
iaB/Vd9BmBsnVOqMMiHIwwc3iNLEffpaoYyc6AaRjKv695+92sSQhMLzlXpQaXN3V9yXJR7v4b/7
brH1LLjgjzkv43Z8KSMSLkD5/e2nxK/u797cVJvqvnz7xi/Th7dW9FY6PvGnm4dX9Ns2lv/65+R/
4KVN/s8zuKdv+D99tY3of0D7ZpNUmzdWUQ8HgFs/kUKlKqG6fPgYU7jZCWGGQYicwP06rfbjvece
MwDfI3VkiK+TPj0I1gZhGiNCfcRaTrCm49yXum4YGAWPFuVxas/VZz/KW9Iz8N26/siQ/SOCrbzD
bP7ldlucGEQ1mKHzR3DFBFzGTphgqtBh0J9j+wqN9sM7vcEMhKciRwaylUZ1eQiM5QkbV16dai+s
zTDWxOC6VLVtkOdrtB/jifwMiCcSR4bwH1HmJ/cHmMXGiS65BoCfTPR0OabyROCjaULdRni+RvsR
nsjPQHgicWQIX6bJIZZg44QBO0M3nlbgqZUGvgzulhQEi/NzMz1Xn/3obknPwHbr+iND9o94c5cW
B5m7HMsrvGVMzWnIJARjkhP5YLfpNrTzFdoP7kR+BrwTiSMD+F1UI44/AMDyRHJdaIzDSx4/08mL
0FiqhtRgwbcRnq/RfoQn8jMQnkgcGcLnoGIOAbB+wsF7MFXVHgHeCZDkiY7vKKOA/rl1nq3Qfny3
xWfAuy1wZOiadVUdwreSJxoFbUVe8q0YPdE0VaeAdxvd2QrtR3dbfAa62wJHhu6XNDqMY6UL8BpA
d7r4UnjMqqBUn6A6V5H9oG5Jz8B06/ojg/Rycwcy+gALLshJnXGNiad4FwhOHSuic9VQ6dRbnq3R
fnQnTzQD34nEkSF8Wsdf0+iu+vUYq+QE4RBVVQZ+eRtc9QRzlhNwWo+r8bZRfo1K+0HeucMMmHdk
jgxoK0XmZJzK5Zhy+OUkpXFCKNDkXDxCOqU3QFJSzGdN0AkD/Vq99iO+9y4zUN8rd2TIf4Y/Wx/E
iqsnzAArSV4CfeQ8JKdEJxPQX6HSfrynN5gB9VTkyFC+GX3rQ5AfEhOXMeSNn2LjnZlNT3Smwc7v
5BFna7Qf48kTzYB4InFkCF9uCj9LD5J+ECdwteCMGewx/TB1xzCRpa4Kg4G9fPhsr9iv0Ww/1jt3
mIH2jsyR4W3fR2+uUtSj/PrlWkXopKkgRMY1e/zsEF4w7UTlyClOkoqvUmo/1ru3mAH2rtCRob2I
3thpAQL716ONyh/BpA568xFsOWW/QG/CbaNwz/R9NParVNuP+e4tZmC+K3RkmN94m4N44wi9kEbU
ucFfKvViJ9ygxDDG2Ow53Tlfo/04T+RngDyRODaEN7cF6kKS6jDTWhNIKqso2nv47BhxegLeDH9A
jY6fCU128yrdXsB79x5zMN+VOjLclyh/PEiaWT8RnOqaRp+88akpH8sIDA1/6CRTNV+j/UhP5Geg
PJE4MoQfaxXNTfF1c6DYWmXE0IV8GWhdGlylKAp6+EwM+UNp6SvU24/6/qecAf5+wSMbA6voPkkO
4K8hn8WIRuUucwoWTRpUgDnfhnu2Jvth3hafAe+2wJHBirH7xrxHbfkhFm39xNBAlyD58ThtpwYc
uUqVMALifOqavUqr/TjvebIZYO+ROjLEr+6bzUFqd0GA6kyAIn3Kc/FpKoSCN0dR5w55Nl+j/UhP
5GegPJE4MoRHsugQplqMuyw0pDGfYusddpSdaJyO6/iEAp+t0H58t8VnwLstcGToruPsvvA30QHW
YgZqhBmaijTGw2c6g6l2osEf1ygKBMfPJMh6jWb7kd65wwywd2SODO8bvwz9Pq1/Pd4jM8opiPDv
uy121md2oqOOW0N5wrYL9hqd9iO9c4cZSO/IHBnS5/fFIcy2dsLFQ8HY46QdZ+1WiQLC6DGfjczX
tB5wpj77Ed56mhnobl1/ZMhebMIDZDY4gIOtRp6KP5hjsrPLlZ1IqlHdEBP/eq4++5Hdkp6B7Nb1
R4bsxxrbpOKD7KKBu2UwqSLZ/IjudN4ik8ENRqnBJtb5NTrtR3jnDjNQ3pE5MqQvNmV5fwD7jASG
ip1ShnzKR5Op1zXuVcfXKhzr7VV4vkb7UZ7Iz8B4InFkCGNvfeKX0aY+RFW+AIgEZJb+kq1GdEyY
iqKySfD0Oq32I73nHjPQ3iN1bIj798VBGG2wmjqBdTYes1H75jS+BOdtPJIlk0jqZrZeL+C9LT8H
622JI8P5Ii3f/JG499H9Iaa2ekI0xrjxfcPNlBdBR4JxYqN8/zFFPQH7lcrtR3zfTWbAvk/syLB/
F21uD1IsaJxgh+tYSfLkn+2s27DoYuRS2A/2+3n5wXy99iM+kZ8B9kTiyHC+vE/u0lv/IJlo1IWO
W9mFeCLGdlxxjhIyoXM+Fpc9B/lVSu3HefcWM6DeFToytD/W0aY4REyN3ZOcoD/U0y7nfWwJk+gt
Q7WdqGuuRvtxnjzRDJAnEkeG8E0abQ4ymcfuBbDaQjx54juTGf1HVAnHbCcrOVuj/QhPnmgGwhOJ
Y0MYWd6L2i/fXH/1y+wQCWgNmzaYjqQjWn+Nnx2oEVqDFcVmWVDfz+32mAZ+pWovYP7CjeaA/4Lo
kY0CdOnAZo77/tfnN7h+ogtsqOXkqTR0j4emazqKR6ftpF6j037cd+4wA/AdmaNDGg7ar4cZaSxQ
pGhY8b37384eTJQIqwx1B3SyZF+mMxV6CePn4rMAfi5wbOjeF7doUGn98u2W4oQTXeo/2g1Nw2vw
o6pBJaLrvaW/l7P1egHlbfk5MG9LHBnO49J4iSakh1ivH/ZmCYHWM48h806VN9r/MQOxmDrhUF6l
1H6cd28xA+pdoSND+2qTHWYLNZNoUYONlo+O2c7KDKCR8iAoTth2zObqsx/jLekZ8G5df2TIXhcb
MKIHsNccVUSIrwz9pe5/aPKpoYuYPq0fmq/RfnQn8jPwnUgcGcIffLTXLv27w4AsDaJx/lRTshNZ
UazaaL6NHlOTyOpVSu3HefcWM6DeFToytMelyETFzqa4OwwJik4maIBADfBjD5+pzQbkKFcg4MS3
TfbrFdsP+wv3mYH9C5JHNgC+1F8PsVSP3DdFzSe6eT58doqM0HAMBUYGwuht3Ofqsx/tLekZGG9d
f2TIfrz3NvEBsEXpCUp5dWQvX9h4NbbbxrYrtJN7LE6ZeN3z9dqP8UR+BsoTiSPDebRTS7hlt355
m36fTL/iOAyBjZKECKQtfqQit0pAgTN24KEUmO+x3T80muMr7gd668F+3GYG3vsFjxB22793DxFR
o6SfYssGyvqnVb8CjcmwMd74Hmt/H2+PhyWML362Ti+Dvn2LmYBvCx0h2GfpJq8PtUUHaKsMs3mv
j4Ydd0yiNayU++uOgPorlHsZ9+lNZiI/FTs+7MeGdMgTH2Ax54i4UGOEWvAnIz+d8cB+zFtjA95k
uzzm+mvUehH1nZvMQ31H7NhQRxP+Q3hvaHWjcqmDR3spvfVg/HUV/a4mxn22Ri9gvS0/B+ZtiSND
+CP2W+Lgsh+OzWMm+Rc4bmNfUWzLgUl/anywhxAfWVI0Rpi65vNV2o/x9JlmgDwV+S9A+ecqbj3z
eL7ZH9/n0R5sX3tEHdgS9OnW0fPicakGgFs+ObZl6RRzG9H3o9P+/bd/HFT342S9F8fb4+F++06o
+yG79YyPj/jzl3KYk+dePpXuxzl/9qbaLB5OCHx2MN3Pv30Y2jjbcCL6VOqxF8THd7m++/2thiTU
M1DHe2zViDw/23AqdY9mV7+/VSgFaTYWBhM0l9PQqgY3bO8fv2Iqmh/AC8O2AAOjYMxoJeiA5/3+
VkUBEh2PVyEj9Ohbh5W8TOvxKz5uscYNEc4Z6HiFXXs/zm98l0a9myY/XsjT398kdfwu9ZOq/P0t
xW9kj5c9PCDRJCJ77A/TUSPB4TXCMchuNx/Ggwlw9f9UA0+zvK67q6TlctG0jpeZKQ9EaIWibd7r
itafBV2ThAtCwupLlarNp1Atu9wsZZL/+ezt7dMGxmyqDehDnF2ARC4OARtN2nNt1KTPQunVzRXL
E3rlhkPimLVIdc/qmiqVZtOq9RfRZIpvFrFR5VYeFKFrOkMpVAu1usmdrCpyjXt4tc2iiH4aNMWg
q17XnHvaK7Rb/lxjhnV0R2OUmGDvjtQEejyTica+8IBtX13xTnNdW++G6FOD2jK+rESfambTdzSw
feEY5iD03jf7kPBV3BQ9tYsmre68riyp5SuZZpc4nLMxq9gjjSkKLXQXbhp478JansWl9EobXoD8
XHr5eRi1WrfwS0W/9AuviVc/f6pdGFC1TLATHB0RESI+PPSzQSF6xW2VLCqvksqRn1PXoMxUQ4ah
kSV1967tCnmTOTT66+c/O46152MR+Xs0TBYcR4OhwQDjo1rPflYjnatmpZtcJcZAr2jo1VdJWVi+
4Xiff/5LmD47vyTRd0RgSxVoTWMyzrJE7Ye88NIrIyPqJm/TIlo5ldEzM8y8BcnraLA46Y3UCrjW
xv9p0IyDYvtBMVBwgqGKw0fRGnz686hX8j03if0rkYfaJg5qbRNGow7aEJcLvUhTsyeAftVGecvM
PEzFfRXJct3KXr3odF4Qi7dBGlqBSOJPvMgYtz2j7+8zpclsogyxsDSZqsWpxvWhNn/+9sbmWlP9
xWg20IwJJ/HhuIJtoIhea4mmOcolrZ144xdV6ZpUCatENXnfJ+5Z6/nhV9eQ2UU35N5ST9XOtxht
xLdKDENq9Z4rLDUNmnu/4OKu0TJPnP1cSVXbAZmrHINo9JtQL6AJkNPPh5NeGD4pvIpfBmqeOdKw
K+kNq67quFxWTV1bRZeT903ca7XpeZ6wCpqsSlZkq0jNmBVGefwhi7S4M0XUun+2QZyu+7KqzEzL
s096GRq2kyeOVadB4Jt+xYPWdIIyuWozpbzOlYEvXJfKwFQGJ4kt1njxqaZX0QcWuO/cPuGdGdUi
v6qc/GPFYoXbesPwIv2ewTao9TCYpDWCi8jTjC8OqdUzTzfoxeB2jbRa4qkxDq/r/bViFH1str0x
2LTVFHsIutuszKubmijCM9u4EkunzOu16jD2MfdoG64coVDfHLzQ+YpwsmhMP8mVv+tYxHaWlWwd
pkm2prmM7vwm0zHveRze+NLphNnkqntWOEVt9XgPK6oyeZ23cbdQ2yJfUtrRZhGhM7prNa1r5FbD
PGcRl7yw60xee47iEpvStDrFUsNaKyGBbhqViP7qYuKds0JmNxqvtFUtA4UtSz0eNoaeFouSdMGw
bELDXSpdRzasjNpvpZtlmjWwitRm4rLGXXZVkGJytO2id5vaWBap49lRxePTBJeaaPxbpHjRcSPM
oAwCxRJOK0yRat1gqlXkWLxSknhV6OHCVeuevG85VXHecUEiM8BIqpa8amW56rjoLvRwGCLnfd3m
VRybvR/1SXHnOR5jw5eyVToRe6YsYMrTW9bHQcULnJlS1xm5qsIqDrsz6efDqpF15azjwvczM2BR
ekOEwtdBz3lt1cDAMfucyA5wxYZhJ46D9bCKwjZf6GHrEquIKupceznRRXoa9qL17L6LZHWhlxXH
iGqdlJatVWMtXOqKFzjXDaaO7lq5kRkYcDws42US+YU0oxyLl7PoGl+3FAeeq2b2DklUNNp34tjy
ZN06yzYSUbwoHXgFSy1x48EyBg0WM2GhWluxVyiR2ZS9W74rfSWOF6nrG9+UuhE+sUnKqpWvGrVx
pSmO65wlXFRCC6ykK/OhPy3RiaLwFpnriXjhlM2QL2VRJv6yj/S4PyVlGWeWxvrIt0Sn9dGq8HNf
sQAr+1PJ4oHayFiHsY1/iXIdBUQp8cqT5M8gjmW85oWsokXoVfqHoa44XwZKyui513qlSEzhMa9a
OUWTJTdYjPlZ4A4sXNYZNFikVeQOC4N2g7SMoM/ay9joMbQVTJXCdiitzwquaZHtOtytbZE0gNMX
JfyTZAj4cB+FiOVtAwrENu9jL19T4qunri9C3WJhmHPbT33HHmon1EylLTL5LnDaQLW4nweDGWfB
oJwTJ1KXNHNcDepKkS1o7w3p2vNp6y5CqXqtOV5nUunLBMPH5bnVtb4ymFXnK38XOLK3V0wf84hd
0SHxB980GlXhH/uoZfWVnsk+tROZV5danWBJcksRQkDGHG/L8T2afBlolHhneR9H3bJstcE/p5Vb
fVQDpm20zokd06AYvMs66QRflPrgQ/maBrEd8TwsLaN1Fj718y9R28KzCNyguSk1vf2aFR4/bUTr
Ogsj1AgzE8PBfbQoDbplUjT0augyrr4vK41+pJWCK1pdKQ2ror3oFg2LA/+06Bhr14lwS3btK0J+
Tkg+Ds4gyMuViEqvfNf1amVYJG+BjdcmUCwtYXTPsYLJz9wgGN0xrGRho+iwS9dVKR32LijqMPzA
jESq604N2vqy6qrR+fT67p0WKnq3SNsYP52mw9CYHYurYUVCMT78qHoL+wS9spheqVqCp6hzDa/K
C9NwsGTYYOpkkRv675NCYMoXNbwCF9/BprIq8a5zqvZFYvLMI4C7Lbr6Mla8rDR9UufdskMJNF/0
Tc5Go4HJZOGJYEA6SUc/uUrizw5aJp8Zje8bpuFpIcZF7+qbNuFQoyuC/gOvOlKeu3Bzg/M0S8Lg
xsBqsSoTQq9y6eZf0MtNz01P9Xx2lhqurM8dL3Ubuy9E3sLB7fkqY3itFhF5fxtGofauq0uSnuak
b8I/Wz12y9PYUeJv/SBHG+LnkWcjDjD4wme9Vy4zPZZ/KsSJl3GbubkpVJi5vmi9D35alecyDgPN
1ljBXJg9NP02G4/Jz0WgNO4iYgmmyaA4XK7VJKX5fQyD3J+hxSDmRjta7EWgKXijXTM0CywybX5O
i5rpliOjqsFKyxsC1zsP/i5kIz8qPdz0s0FWBb2ryqQvzZhS0az9luFWXUy9wVJbV3fXGWBpLSWU
+nJIm6a67HoR3QRNmZuGKE/VuGu006HVAU5IaDmssihM08tE79QLpSJquvDyJG7O3b7NPMvQytj7
CE+kvCMygRmB6SwbM/TKtjRl2xg5VoE+v4ncnPp/0XTgRmMO8MD6T1nFFYmblU6x8IQSumeKk7Vf
PZcojRWJUg/XviT0fVcqzrAq6rz0F/5QY5D6rAr4uy6MBu0q1rMoMvOsIfqlSj21s3p4N+Wi9TKg
1hqJ75rFIGLYjrKMFrTjXWE3ETOK1WDkGP2h2rnC7p2elJaTlXr+Z6v19GPgFRhrWOnkZ4z1uHyX
yITCwLJMBksj9vTW7OovzKhbg5ph2IhPGkvy1m41t1IvVScymg+5U8oCiztG9CLzOdBE4NB3Fz6v
wvRCFJnH37GORPra6VKJ5+o6xb0MCyVr7bh0YDPgjdXVZRQ50L+QobssPSP07LYjZN3nKuZ9r+vC
N1XHE5cPXukTd/Hu0cl/DMBv06wvfNerJn/918c0xj//HGV+XPNAU/z7b5f+bZGW6bfqp1et7tOR
CSqnF23dGb/+pN1IX2z9ZYdKeYEs+XBf1lH1wpcvMyk/6jZHpgFVnlxD879nTvwOnfLQtO07x7Ut
9J1NQZoaGQ60oDNwuI6KooVnbAo/IdiCzXSQNmNVKb56YlNAk3McOM1BKWCTAMwgwr3vbAoqEcdi
YgntQJOjed1r2BQY0ElkNJ6Ji6PnRyJljDqmdIqBbsW6rpDhmsfe55xHlRUhIDKTLM9tOsRLI9dX
tE3XWq9YTSc/x2nvmqTuUjuW+sfAUC95Wq3jIFjkjeEg4hdxIhe+12afolTSRcrIe1dJinXV+q60
kyhQvsJjjLFUUt5458Jp4s7SEuKYeiSC07IK/EVcB/V7kmTcTmv9pg11OGxNfy21iJpdwu3MG0Iz
79KPfa98TrXkE08REhE2RBYp2rWu9Neeb5yhUasNE31bDNzUwqQ13YB8yAL2ThrKZ9aUiY1gi5pO
FV42WRFatZN864shMD1Gl44qXJsVMV9orLuGQd3kUdDZWsNru0+9O0QQg10Rp7RkZyxcUrVWlnp0
GWJ7j5OZitqv2y5VLK91z2ktrnnoWjX1zodaWIQieGti0BOUNefw3v70iPyiqCI1jYi/D9NyUWnx
59BHRFUEw6eqaJdNTbMr6rSLOEu/oTDCbgr/g6yzxmx4fJG58ZrG/eewrM+VtPlGCq1HWN0Li8Ep
Nwe/aUwFAa/Jo/A0L5XM4h4c5j5ltsNIbSGeNa5Zn/XW0Oeh1VRtZHppa1WyCOw0IL4Zk16Bk4Ol
P+kyaulE3Hq9C2+Y9qvKCYhZdtRKDLaWOj+t6+LaiYoEnITfX3p5kWdmout1vKq0yA9NLYJnWxVW
WWpwSsLY5Cljlpc0S5U4X0MemGHUKaZad3aQdBtXT0MT90T4KBM77Vqz9Rrd9LiyIYUbWEVTcZOG
3KKlvO/D0LgEAdQsDFLWS1Z7+kXU8tMsSIobr3TUK1bF6TllbuOaQgb2UNSnXtMNVqlH6iJqhG3E
MV0lil8tI4z/q9o3VkJR10pefiaadkpq9rltKmq5XknsqmT0imcsuMiSNDNd8JcLT4sH02kCxUy6
0R1WFWfVU0quso6z9z5LxakfNiupZqd9657FYQmHJmcbHDGv2WHS+9fIsbSW1NRlb8TLuipbmyJa
s7Q2+dqX6ZI1/l+pC7dYVgj7POAZRH10rao6lo//xK5tsydjuw8V1gaHo+MQXjTKpNis9JyXyHjX
hJEi6XUUg0q90zS7jdfP7ObTKvOc1t3zE9irjiMFCWwkeC6Y4uc/0WduVwa+rl6H5dc6fNdnHxN5
cZCV7L9vjRpP3vzt+WK3Tfk/O1hud6kaZX8sVaiKHBuWc0kpOuuNJN8P4h/FVqioBMkt4Ugggft8
qaIEB1BJtBMRyA2MrYD+vVSBHUVKAivcOHSw9n3XcsvvQLJjzwh5HAPPSUhNjMQnNk1hxcKfMfvw
fIzIWAwyabTmOmp8UDRWkafkLOqoepYMYLSsQI8/9YHLTNEpF0YChjHQ4sZsA932EoWYtAo+dm51
HhrdTUO6i96hgZl5ujThvcEN9wewG9XnNu6vRMzXmq/DWjqpmRvlddZ1Z3pW61YX52t/iFozLkvw
FK40HSG7VcH5N264ldWWeWISP+wtuHpsUYRKbg6GuqyDwLDUCKyPLL0vve54Zhmp/UJWfWyTIvuo
6nUNg6cwCzy6xbOBWH1bmaqbN1aROH9GktoV03urKEtb89uveh2agZPHNnqf3uaB8K1G9//SEUmZ
4P/XvDMQVvnCBF/wl+6qK0Nkg+W0fOkZhWLyMj5leqPZTWqcll0c273aFAizu6996nyNq+6apF6O
dbP64hPpW7EarsKwWxsggpe0awtkAxSsV2525xJVszua/JWlWmByr+G2U1f3usOGqzLsN36mOee1
5oOw1Fhseq6+UBKDfmClKGwVdJflj4FRWnZy1bbhOdXy5oshm4KbNdJPS9Cu1qAKf6E6Il1GPSdW
BPZrYXgegb0dUrNmSXnZE6OzQ2QqlkbqZ7YTKb1VYTSbRRl6C8UHJdcT31kkpPTPfZJGK0O21Q3T
muFzOzSenRKEsWEZkctej8VyaMPwS1o07MwXQv+rKeP4Q1nQ/J2nM39t0KK7yKXD7aaP0jOEmUWN
VV8NLpw2yUaWpbuoiyFi5hBjTesMXzEQFij5OoFLFI6+kTd6SaTHi185cBP/VgLpflONqF7EkoEp
qPp6ERqG1ccM2asgq81mqDBuCvAXJbus+gFvvV3krXtRJvkXUE3SUvL6qvCS9tRxqm4pSNOZNU/l
UmheY6pddqVWrFrmMQETX1SLnMpz0HMu1lsfLhkfRk4Xa+yghtROqeHbIu7JMq25ly2YfyN4AgbV
18PLFB0nzsPabT5LkHxrHT0HTQ9x8EoxEiylSvGtY45yCg7I7ozefyTLf3VY8t9nzMfGiC8b84fd
v7tW/KGb4vf0Lc6CG5swYi/TGL6MLT9+WHHsOtYEMgzI44zHTSE1+D19SyGEtIh4SPhygVXhyYhj
pzK4jIcaLTlmC18XbzzY6C0bjmUElfdYYRjuhU4H2zY8T3MQWR5yhHkdaMZpHrbIjGrimjLfK+A8
KY4yLMIsbXUQz7CB0i59oTp2D+oK85rEtLppderKb61RnhZKwp1NFsYBWbRtEinneOjSOaNe0NOF
OyiK+04NEx+kdq56WWPRmnU1eGltAB0bgSXzPVMkgoP6RwRdWWBYpdGbRV+LwQzA1Hqnoq3BiUSg
YUzeIcl5mruFBPsbl4mp521UXLtqVOeYZX0rFq5BUt0MDd0mQ1Ur9xoctMdc5/8P/THV//LQ/94z
e3f0j3LffRgUL6g47pKghyxOr+Yqhvj30U91bAZCeQqa2CEN+Lx4gXNUpeEsLjgXEHx0b777MGgn
DR/GwNzgBnwOlKW9woehfNvPhXvEUco4Dn0NHaxR9Dhm559ljAVCoaRT8v6y41lGlzQkhrjMBM+c
b2QYEg25kYpUCCO4T8Rwmuph2Cam0wXtQtfV8IPDvNY2Eqc9LZCc7E20ibh1YfitVDqbgoY3oRPG
7xACYcQPOltyjSLIUUl5mer6Ny8zAqyQWINpUvpLr675QpR+sah0pJSamGoXQ13GayWJqhwBFSIR
q9NLzwoCt7jKCOVm48uLQK/Cc6n7iV1mbb8sNJmZVY4oLopJZsWSFojlqbxSm/4s1PwLI62c89iP
wmWoyBArNgyDiQUvMuNQ65edFJ4NJpdZOe9Ci4Yis/Mu8pe5USc2UZUvkU6vM71LzoRXf6S6R2wn
VkH6+3pmubJXropAv8X8j808FXQFL+TbEAR/i9YvY1NtaLxuHeFcZGrQfyriyrGRSr90S56uay+4
r5Az+cIKj7wfoipdNnqU26KMGEofRg/IlYk8bxSHLvSWKGdq1pELDcUrK99jmukWtX5RCPHeiNzg
JqbRuvX6jyiOSMxUTdQVMdL3Qo8DUzoIh1E+A2c0BUU/hIKaKmlBaPShckG9OjZFX3jalyYDO+sQ
Hp5XTk+rlRsrvReZQ1HoxbUH7BqkXvzLHvkIJF1c6ri5FeBOSPJIpbrODJkrJpx1RVtnVc8+KqyO
/DVrwuGsaBJ57Td9lpvpYKSuKfESnGvppK6FBLj81lAZXrBU2hRJshs4hLSzHybt/3XrNe4b/pn1
+iMC73m3mRqvR7Hvxms8W2bsGfFoaB5W4e/Ga6QRBYqoCAcxyCmDXfnOFaLnMno/YecqllYVRVv/
XrtRXo3KaY71FofDgjLEYaGvMV50p8oGp1DivBRkH3QU6+Pk6G3jZXRuLmvDq68Dv8rOjEiql7Bm
50YS5ZZWF591RBF5UIWnSSqi4d5Ly1x5X/c9ssGDbyERGb2XXpaYVdi/r1z1LC3jdJlHpW/SoUcF
UUiVlR81qqlm3tING2+NNDWx3MxRTSQSXM+STZ4sY5FF9U3vZl+k16emogtkFpErDKyMlepZ0ynD
mZYlHULEfvQ86yi0+9EXreCUYjYPKF6Cn9rTFB4rDeU6Gr3YbPRn2ejZGo8+7k324PQao/+bjZ5w
UyjEFqN3nI5+cjR6zEyXSCzAiQ4fvGmXWtroX2twtI3R425G37uJhs5URn+8HD3zoi2v6OirV3Da
CzjvPZx4j/Q2g1NPVPe8Hb38avT3fSRNzAAhAJyQepGMUYHrKNUCP+Z+c9pU/7sfgsZZ5lrumaie
AE/q/S975/YcKY5m8b+IDXGHx+WS5MXpe9muelG4qmwJARIgBIK/fg/V0TPdvTsb0e898zITVS6n
nYn4vnN+56DdYzqaR974T4kg0pz6iDvTQ+3K4Qj+IZcDj45DuGr5FE0kHTNuaDxnfkyDyneXWWQh
DT8bapbT/oyHysimKbZO3q9C30ZBf5Ytvx2Id0km56D0cna6qFAbTIl98xVbHtb9z0V6j/WUfv3n
8PhlM+xlu/959AG1+Y5Y/Lv+6/EBZQ5f+K/jg4DBxDmEqx3tM7/0kX8dHwTzPQKxkHZQYRDu3VG/
Hx/Jf2FaSlPU1cAcAFWJP/p99oHVAJIbFdC/DUwk+jvHB5BPHA9/mv0R1dsrFCKcV+gXjf9yfEiW
zHM7J+qOkJYde0YrzpwkG/3lYuJ5xWfc0zfWeKryyeZXqTX3UgTg2mT3fQw8VWhHH9uVh2Xqj2vO
lsjPRMCH3PAA07qzeNDzEyeLh2grnMV29wNLX3m4jTmkBD+3ZLvAnr8Zw+CYqBSurMOrYe1facJU
vg3JdRtXXFuqmY+wl86sEwN8wfC8JXWXsSC+Rl7whYW4Lqc6eUiXuCnkWD9MZHwHN427e8he5i7s
swW0HGTyeM6bebtGMn61FBgBpLe3tFWvkZ0vaePeLHH77ITddUqWPodj/EWOlGSOC/KHLpd4Cx6l
FAeXOV+92uZsYIeJDHGux/6mj9Wbl0S3PsdowUNbzRYTBz4U71ObaKjOLc+ceCrraOMZDt628Ecb
AY0Z1jJJpCnneV4Bf3V342Kx+DP/qDgmHruY26WdTca2xa0g/hxENDzaZhaQpVyZO95279Pohzf1
z41ZD7A9Id4zeW+D6LDy7lSDIoAkpu8jE3/hA2VlH6xvUY1Dvl7CvgA73uStrNXBr1ddSC+upnF7
GK2MDy5vz9ZtP/jWwYWevC8RH1245h7NI5XeiTn2blsaH23CnobbgJ8iI3bi7BKtkP/QXX2o41ll
wQCHeNpEOfnTDMc4eeMRFA4zSC9rVV25nZRZ06kfsGpUIaZVZN7gQuqH/0tYuU7rsV5xDHad+D6O
/kcceh+LIuzIhuB2987tPDDwjnNXirUNXvywASa0JhAeaZ0rOZy7MDq1oQsghR/GhDUHF6xSuVqM
uB6L1ioxvYozGZqpXGbnoe6Xn+nWLGMeEtzFyDhU2xBo3NSGc+AMmIvhE6SR4pnyqABjEicFEjRH
z2GyUqN9B0XzDEGrgERVkv2OiY8uPkfpq/JnP+fDND8NgTuUdcps2cQGd2Q4xbm7Gbec2h6aXdg+
pjNoYI/6WD34SabRDZ21iwkdBhBGW1wXMYSpRGBr8QflZVBoycFpfVhusOMvqycfqMN/+GwJHiba
PSZjQLKd/Dz1Gj8LnxbgBpspdaDajMFwVApXiuishWLY39M4vOEdIUVPRJBFAr9AGX2bJves1UMd
BH02jsl9knT0ZCN1aykkWLhU59RTPwPd9tmwivcu6PoybnRTONZpin7D52MJB7DAQ8gKvjmVv+Zi
++Yx/+c83ghx0mopazWs+UDxMZg7+r7uLIy3Dle6NS4UMefJ9sFRutzBGMNfHNZ8NAaXjCcVPtt9
eNDpcOqcrs+w1kAMbNtnMJaf6Qz3jFl87vw2rgIlWRkALc2cfpuymQ3yxvFseHVl9+zU3XBrZzBL
oApFGacbLew2O/AjqcrZSBSYn/k6j02SAfoSWZvWT3zEpzkMmHsaW8GhjOIdB8kEHnjdHhTtI8xU
8DZ1N295vzqPPuTJguA7ZXwbaObMEUjGpqGHeZ3g8A1TcISYaueAnxuAf5Azhocu8C+t0k+Ekmca
1qqAqXameH5i6W+brTOtxlFAGnfHtyYNNVZULSORayMuxsyYBCZYk96hXqjEXFhraLqMB//YOr+h
B7t28J9ngn+Fnf/3TLB/4e8zAUQPyBoE78kvb8bF3f33mQDdJ2EaJtA1QoiFWLn/PRP4mAlAqyHV
gNEgIrtK8ftMsIc5IJZgYECgI8Qo8XdmAneXHP80E0CiwVWBfhZsL5BeyF/0kFoIrjlg1ytMn47j
HjMAzMtNFDbnrgZQ5eXuvMXAfQPSexY+zro9GUULxiW78Y2I3xsOlxnAGCPDNxG3rnu/uLpnmfi1
5up94+3UtJ2Zv6/Bw74RY+jBcuxqAh8k3XfmjvoUH/uITCV2a+E+1XHaBpeNba3+kUoWLdfR78fw
oe/aao5k+0HnoS6UrE2bG7ChoiIicQ/pkNTz4zSs0yloPe1kG4DlraRkNd9gYMCwiQdOLp5J6WUc
BpHmUi685DYd4GZBjjdkrS/hBGae0g1zhkhp+m605CmOMLpsFR4rv+WN5OYe4sM7SI1vccN+iCjo
SkhYXd5H4Uc/dR9RqlycM90Q/Fwm7F5E5t7AQPNtJDxMjWO+LRGLICWQus6XxrgQDxaBuWZKXl0H
7knaLPSHraP5qH3pnbhD+Y3TeN2xcccYMQBjT1vfD1UQziof4UvgTiEBciQ9B5pntiyd6RVvbl9E
IBexvdEimbpLYlKVh3SMr2sYbqcmwJxSe2mbBSmv4nrospF5DaD8RIDgNSBcJc7xJP1IAu5Uybwd
ISzd+bCKq5XCHnN0B0GJjlgQA/sWcEjFDbycLI7CSoGFBEpr84mPy23j2yknnNs8hXlUjAgwlsLp
vTvCmubJWUL/EYSC/BAkGM/dUAPAnQNkOerhp8Q0cPlnk/m1yfiIjvznU+seD576v9aY/at+P7LQ
jYlT59ezJ3areU+S/X5k7QIJPOAYSRhsJr+wqN8NDBRq4o9cxMx2DxtO8b+PLDzYBIFjnHUeKt6C
XVb5GyoIZOG/HFmwIj3PwwPKdosF1sj+53+QcAP4n3AdVvcubBdoHSBrEHhJhuYqaJsHm35I+PZK
AXR4w9RWC1YQp+YAMTnNQsWqlGJYqRv7ZZyQ3PHV+BDNCiQIuRjK8qizcG41kOpjKJyvirEzZXBs
2Z0Lc/CqarDDUbimmKOhKTQa/GG0bj/bAKmN1YQNEMDkKwyTtkx8ZzoEy/R1U91x8XxW+OF8Xy+T
Xw5AW/Dn5LLNds0ACF33vB9ya+2LdDAcdiP5qHv9uWzez8TpcdCZhuejZ5+6xC55Y4Ovy+q8jhto
E8w0hYCmlc9beiujdb04kKkjF3qOlYBgLBUFosL4i1R/htQE+IsgsmYXwwTgI+HVdUZp4BWg8OGU
K/8Had7C9Z6Dws40gTO8jMdIpLyg8TQWi7+sAW4TxHaZ5L4/FT18l9Oo/Sl9d+uAzmVtx+4IlAhq
kZXNEQDSUII6w9IG+7MkdFwypNJsqb2kPcB9bU6+B6Ezj2rcZla2TA98HSDLbu34MCNZWIGxGrI+
bvGr0pTBfsVgywfBsk42XtYN0ZvaRti1plnKYAySTCndlJPhYWZThVBASsMqipf1AZ/NIBNGkEIs
c85VpM5pu3UZbYL6SkMiiiU1+szZHFd2ZGsmYS3pYoA5ljncp5XbmE8vVUk18MHkQ0PZ0Y2c7/OE
tw/llAPWuhYk1IAhEVk7dYRe+JE6SPWZAfkS2eOjOoIGB4YAxyAU7X3is6Z0MbZljbPWZepCsg5a
H2D+rMMq4SCSrZtWyC3AUEBM4j7eFDvjN4eFGz73e6IQ2PHWmhwplCu8YeAsJLTmzHcnYKnIzzX4
ODnye4+UFRx+SGY61FC3Eme8LLFaLmwxY4X4Y531qHKr+ilqS7x5QUZ1+FkDrcyClX+6TuBXGgga
z8jW+ZVIcZ8ZkyT4TjrwZJzC4ls60A6sG6Ns6IO5pGxxHbxKGYEhM+13XHOIAQmPHJetkVPJRbKR
0vqJPaRzOIrPFmzjMYFz+QASeyg8cNCQ4DcyXvy+zkdin1vHZUVL2hB7QdocVDu8rE7KcrLRKVPp
okqN+0s4668OG14RnQYEhvtqybsNsH+HlJwg8a7zixdXqnvw/fW3Nd3izOOM36wmSSB9Iq61mQcY
DEkWRrAplYyHU2qiD97O3wxBmoUliJemzuciJg10sv7qO+LcBggkwcapfIQs87Yb90MkveJXcTJQ
9hWuU8fgczF1yTPmxfvB5eceyE8mR3WLwewHpMzXuXVsAbDhftrG5JSM41Ft+klv6ReIhhS7JWa0
wYzlLBAMrWm9Vr63gbyRNsiSTl4WpvMx4Y8M/GEWM9pnBgmKS0i2d4s4QwZZ8FgrrBgxvUv85epY
fyhWeK64Uuoxk/iw7aEkmQUyrb+LRMpvUTOJI/PnGjaW8UHJpcEZEfUwCyKlsyDsvqc6xJlFjCwj
f7hXi/MUab1UAi7JmUmDS1mxvmzWJcFLcqZ8dabo0FucSVQt7KFDF3+mcbk8mP3i2Qilxbh/06kP
eSlonVZE9/Vjy8a+SDxg7ThhTKUFdjsnBLLSB+5aboInuLRZixMmXitrVoE0UI2ETNwFZbohMxaN
4SdCRlvRBNsJW9cdkcOl88VNaGxX+gvxKn/x29InPT0gsgyDDg+2rlpK3SIgSoHXsWEhkAmrOfIh
tK69yvMtjnqBV8s7XLXesqislT7LIg4efu1xSpGButUi8ZOGI5h+kI7QQoQbVY6AS4gFfMkGNkGv
6los3rC7s39Gnd9E2/931Pnvtq/lx//ezsgfRh30JaD4yEed3f4Qegw0fxh1MAVhaMF/fgvU/4m4
w3SERsvQD1GO8yfFdufGMZmgPAsbGuygvwWHo0vtr6NOAp8QuWakNPE63V02/uOow8Z4EcJP2jvH
Hb6yekJiBgepu4anFiJaJrCL6NGUcdhlZAYw5bObdB1ul6RDymgBKdftE71hTj7GxjuwkByI8p+W
evbKJFYmn9l6Q+DHRg4s79qdXurE6/PWbW94OLT57IzHttHvXbR/Zt3gJ/VqnfdOx3IW2otN5p9Y
XYY8aeCewDoro3UOM3eVW0mM0xZjh0kf4Ywpj01q8mAlUT4puR6kWu89bCCFx9qLsaGPG//0hg3B
FkjN/FQkOgNE3G1oCShl1riJMTDkHMlkGaf3W+q+znTDkpnsNx/uLFkbT/i/kajzjfWYCjpGIQee
fDYd1ljRbMBZn3mLfdk4u06xvPS0v3D8TJlacfJ1nve41E0xQ7orG+ldqes907WdYB7BGY5SHzl7
PePe0EAyDwL/2PlrndOkf03C0QGOvTLDcOsZavY0eaL/hrDYy7oFy2Xa8UV/0lXrAuoWw/jNMiSC
ZFN1/RIBOQwhmS4w0oxPPdxJkytn3os/aNB39XLn4GEUZdOYrfDCjZVbijAWCBincpR59B3+MwQj
WSGYBrimaS4qep/sOzJ5h6CP3vXqq8qMOMSMZuXYL516SV0un3AT7ZuPmm0/F8sfNx+bd/xLFG1G
niQgGcQtxef7RCZJjnby1J030vQu6Kg+rynNgxR22BJHx2mEbkc4qXMepOutLzbkYGrVLRUiva84
9ooY+M/Vt+oDMR/vSBRLh2yMMKT/c879JkQRGDX/eaX77+79pxr/j3MOX/XHlQ7QmRcmAbrw8XTn
P5xzeOIcPKYIrel/8bWT/4L6RPBgq9/g4T82iuBxSC5GZbQh/MYjx39ro/tVefEnY2rHigmqHGA+
QNTan6H0x2NO9eEGDoXqO9L6zwhfPHk6vHSBfmgstPFl10QZwXjpBkexrqLodt2U7grqZA3FDRY8
RbwupkBQ9ZEE25bzHnTHEkxRpjcXBtEuQaf4t2SsOJaR3j2lDCtDz9uncVd0N6mSzFX26gxQezsp
+hwqhpM7NqRFvKvC7ew52Tgtwy2BZIyMSXiN503eCM/D6BkBEGUUl5i3i80annSy688R5wzgiHzm
MoFhvYvUZNSnAao1TSZW6saFaRF0H+g8eEFe3MlaLzwqaN7OLn7TQV+3XQ7fQvYdSJXIhtAAQIZm
jkCPcG/cXUfn76OPnAg7KkVZscwG6/AuvMdr0yLvY5vC23Rf9tDnlw3HPEC+nwbKvTv1S5YS/EDj
TE8a6v7qxH22ytLZbgyEfxsk30IYAWp3BNI1JAX4xZuRjff17hoEc4LmF+veNdG4OwqmdBOCt8SP
dTYxpk/xvqghBf7o7Z5ECnPCwqTQMkEIdPctahdxHW/3MnQ8w9WIcCvrqZrKdvc8aAM2ZyTJDZav
02rqIAtHjlVXwg3TOHJ272TwUVuRaBAOUYo+AWRihpLtbgubiJ9TGDDMUSIDjVwNRJx1Ez8H6fbu
7r5NtzYZUK9SzDwtlMebrEeOPOth9Sxk9vII5g8epK7x/g1V6ncib6gryX0fTPIpofABk1HjdqDu
tmD8UStktLzZuccH/D1VtUJuiMkzb9y3cZivI3LwhZMEKHZZ/A+YfB+Ax9aDniyME53QI6Lp3ztc
othdPZ43wCAg25un0GP60iXkPAvxtd/Syza4MPgVrzBm3wzr2mPlg+82MepmqqFLBjr9dhIbLp/5
mTP6feBxcsS2ZGHQdk908yEPeuZ18OPTrvUek1CdgRm0uA1GSJtpeYpY+AUwFj/P076Wiu0J/+Zy
M4D8x9ajVDmxaMx/5cDnEYF+N93fPAtnh0Q0KlwavGol4PluAOq1lvKsPWNz68RxxtcaLKdGym2z
Wr0xggVacj7eC4T0sgXLiJWre0hM95JgscnYxBG9FfBRPIUF1e9lSVsBE6tuoIqsk3fSWGcyJSJe
jJ45kS0hpyHhp9ilbRXhtWRD5K8ZjsUJC5K+12LaMjXIYzANR+FgNVWQTgUGeGSpHRdXWjDliInb
bA14XIDPKqbAhQyK/+EE4b1gKbbo+YtrxSUczVn5620ajE9zDM92010FobbBHkW3TDbu7WzNlxoB
uQy2+X0XmIeGLS9JY6+6294QhYqzBjVFWafEC6o8zoElx1XrZ8gJJBuMJBnWDj9LW3vT6KGMyagO
3Qp/2RvtlY5Iqsm1Le3ilrHXnz0DvXbV5jMI6beauXfoS7lFvcs9wgmY0Wb9ndIQimyzvbUc00Uw
JEmJLPs33cXIuMKSzCavf1Y8uFinV+Xc4lODPp+1eYHSHx7rIJLAAnb/CQjdOd0dqX9WlV+rSvD/
8iVPHOz4+/++he9f9a9buPtfvovoGjYC8CIgyv5wC0eOdZdDcX9HYBV47b+MpF/weACmHAIgJMRf
C87vXDnB01LQ5ZOiPgnQY/L3VFk8i+Ovq0oQoNQKt/AohH2Ddqs/38NBmhO/b4f2niBFCmPU6MwN
lpc5jlg1Dc4dSghG3Izra9Pi4hpXsOcgyEr0NulitsmHMvUVz+t6Bi7e5tIdkl2WwOnGcLkm/hGh
jEM0oRbGuscFbRBd5zTZ4qAXw3e/6nCCerhwAOK8RNPYO4/FdZ3MRwxndkn9cnIY5Fm3vw42+IFy
tYqtaY0IDvqQYP6ao+jH45imFy0YArPhYfNE6ex3AzecbyJPfYmX+XbxOBpsxqCu+Oa9tyM5oFD3
jZM5PMSUooth6NZqdFuG2GDCIY/oc2in+ZBg0Zg855j6Aj0i4onOU59b31/KubcP0t1lu6Q/oOqA
HDu8uAvyA16+JQsgGomjx+niu9Rvf+I+2FerB425Zo2fOSt9Hlv12fYIaRK5IOqoxRUxelXUsHCg
4fXtPgeFqD1RK6aBpITEeObhJAu2tF8mrC3wWWRhQMjyEaCtTNKzOzvglcPpmsq9+cdU3mQfavSA
lGZzgC1grscZCzkQqoWDu7nlEoRvkn4Vwn1cde9kA1VxDtWpy9fIf966+msjh2JpOz+rkyYG3VDf
YOW+iIF8ar1FR7HZoPBqs5bQnFEuQ/0H9Nq9coHXz9aoyTamtjwCBGAijC89mjDQDmQ+lGhOjm6L
hY1ZsPMt6+RGgCHwfQgyWCtNgQBL/kbX7tGOaCRQCdjHzTcVY1BFBzmt2bQCQ1ogxuQtBOzC7Zqg
6pQBG5G8hi7F+65N1rh2yEjXf3VNfYN49A3aCOoTyN8kRztTXQQedMYUfSA5KplwM5n6ivrqFqbh
zVCH8al1EFVgur4lQn0dxACwugWsbeqxsKCWogUvdJmRqHbb+Ti45N7zsGSjRQxeH3xKZk5a9l+M
M1dKyytX6hBENsXtDLs403NaBtGyE9/AshMyv21D/aExwDjCVkvdr1BfhxbpX3BfK36qNb5XwzLl
TTo/JU0LpOk8bLfTfKUOOnNIemJW3rmhvPdmemzD7c4xUYqM1Vx58Il/pYCN4thGN0x9kYDK5XQ1
ACEH/sqQRviV4x+VoLDyJPK6fAlMVHRk/uQNJlHb+XHp9fuliqCpRTJwUclnLKw5KWcQOTVpWrky
PHF3CIuNBt0IddtHa4REyM9xLCtD69McqvdySB2U5qHJLGOWT2dFG3Ho5uCnCSfE/XjzE/DNGybh
HxtUlFJp0OnMX+5Xg+Ee/uWcr1M0lTiOgOigucYbLxAjpgvOnt1R6WPIjAP2BtlNp1B2Ijr4Bu7u
l5kgElbxYHQrE6w9riU0D2Y2tiMCcYZZt0ykE9hsmOG7H/EUOsxoqPnZ6lu0RK3mKf0tQ5OOjg/l
w6jLEgLofIOZ4813zdQfFUOyuQfZVKqgCQ51HbJsgIDrjuxRU3/OJ9RABYE0h9EZbZU40SWMbV1g
+Qsg90Y/BvgfWTOhd6UTwRt6ZpKcz+CpXLJFZ1/hw9zIpMnw10m2huob8N53LkavmBIBmGwbPtF7
NiOgrgh0YNTJEQJDYZxGlHpgdFl7Xdga9RtN71wDOT441GBGVd/mevncHD9fLCQB7VpkA/uwzbVv
z3w9hWTpMmg673WjHqMao+rkQd9FS22cTdPyRDxIDjq9ccT6teXe5+YS/CsMJOzcoZGnLkAVe6sV
RRCO8BbGxwb+1q48ZNYWtr20qN4gTYslxar3hW0nuFMjpk4b5UO9gc3zutsobrYCkyYrieM8eLhj
FkscbkWNapyNrJcUZUQ5fgv9MZaAabUiU+UHM872AORcWsclCEVcS9R5nsDkhuzVG0EZYK6nBXca
USRNuuCbI4mYNunRh06FQbdNCh/lC/mSWHXX2X4B4rjc9ADssiSZWcbc+K5e5NW0cZfbHnkACban
00dmpvcoXdYShs7T2jpDuXUQuGmKG0gozBdqYE6ZRb4qBCCF0+A1mu0NBWD8gKsuwGcA0UxwJpD/
1PSh0/QLDugD6dubpuNTBgrr6Av1ZZjryqljCzUQw/Pi32Oxe0xD9b3GjS4DNHIbkOmCKgyazzKg
Fd3cnZQbT8wBw7hOC8u8EP4nb5pTGq4J8CqZi8QbKo2cbF4H+q6pDUof4oP0JhCa7rFvBp4HBvvO
agIgcaSbS+KipSZtaFzBvOF5PAvUriGkLx3HrSKPJ6cJv9AcuMod6bEBJvF0NlKOmPDTc6ztl1Yq
Uq4KN0EcWQen3ljlLO6lBUuHKG8MThxX2oW53n3kAvB2NGQDyFvdafPgO8yQ+bPVHyiCmf4pCOp7
bsSLA73qgLCszHDI4YALl+MGrTDDU+juPWAXKHzy0R2m7A/gaK9+ONxpGf/YAv+HBZ7Xa3iTDUNT
QB8Vk1+faNe/EQR+fawMS+JdfNTJ+d6K+qN2b7Jb3hkAFxN7HynSIszUD5sbD1k6kScZ7Ie4Ex5w
1vP8n7H719i91xj8Z+UM7Mn0fxkE+KI/TN0EszbaVwky9t6fpm407u56VYr/+n/Ct/ZH5ODZR6h1
+Xda/3d8K8WzFJCjT+Es+DEqZ/5WnA30+F+nbohmcCASvDoAXOgG/fPUjQFSo0+P+3faBgRHzXyC
PY/iGOH70FiHg/I9g5N7fY09JCY0C36MfnIzYaUrwr0yS1iEDqaRXyYAtpkk8uoIzOkJ2KfC6vnW
jpEugnRUuVLm+5rKr7wGodu1j00gKrlOZ8/3Hoce0poYVpx6vacRx/BuJJJlSJPGX3QD4KhNuwll
VvQLegJeQzT1QebYbB7Z7i5k/p27RGU6qHPcDqcm3PzTNtMxN40HqoHbCq2+pZf0n0ilPJqFhWcJ
dB1VSt+TesXctb1Y5FgysFFe5gMfywBjyQKJvpxYWBxxz18W13xrwFbmvOFHzyiZ9Yi+Awnxx2yC
zJHXvX/bdMO5bQI/W8bxc5g5buqOglDRJnd1N0IQZMOdCOf+bLsJDVQ1xLa4Qy9Kw0eM/ITRWx0p
UkDp2eCAB9tngmP7dg5wHNT45fawyB889FtlXI8fHMmPq1DtKUwd7N5ev1Zc6uROoz0EpC9MwBFU
PWAsGIPNbhFCTeIZlJCoQkUA7MXdSgxszB4I891q243GgdVI9O3mI9osVVbvhiRZW3H0d5PS2e1K
sRuX/obW1d3KDHdTs9vtTdeu8Ah2yxOcHwW2AhsUQT2vmpTflRIeKdIrlw2eaSPd07SbqHWXfNLd
VhW7wersVuu6m67ubr8ilw4jdrdkwT2viMsMaTXthq3Yrdt0N3G73c4laPV7hI+QAPLYhwHc849k
N4B/cRTa950H8GZB1m34SYfdMq6Rbzgku40sdkN53a1lB12BKP+C3RzuxjPz+PPq6XtjiCy5gzyx
mvrvqkVhRM0j9FPuFnafQgFh6HTJ1m3/FdWe/LboUHyRKEbMNE/lcTUok/Ysg6NLJXAjNC9kvN8o
BkPcTPzRMcdkgdvBlwDac2zqn81OQBAR03JGavBIJnEwIW7YVELcQkVa1qW4XwHJ7PaZAXUFYkmK
EVBjHs0iwmFvHzAKP0ZL1wCPES4y0l57i2rV6Qgy83OS2/fJnflh6l0DCrkdrzWa1HLfRkU7DtEp
Whd6EznxXCVUBo+eY17qVE1OQSZjEffwrOtmtel/LHhV8YYVmnLRYv3kAyaA9dnF/fJg0Q+Rkzk9
y86LEOteXbCEBiEtvYLCgbiOWsuyltI5OwE51r7/ZYaqliMe9twN4hwLeb/EOnec+KrDbzT2LkZF
8xvU6I8lmm5s4GBVhcFUJItZbgyI6mOaTgBmRnh5rCE3Hr4b7/llnoPPAa2T4OTbK1mIm81p/LIl
KA2uxZbAj+t+6hhNwigaPSmxPqBh6wY1F2i53SswJGbSqqldgFAzRz/GqizSsxAhR/x1qeFzxtoP
D+uKt9AdujvjsKfW0m9Ema99gOMhIf1cxM14qRf33TZRBL1+T6prjASucVHD4KNpOdhpDA0Zf3MR
wNXzVSfLKwBaUqCy6D61MXikLpYnFLXgb04Yak3Tznk/qQtApCMK6mQ+B/QgiBrukFZfM4ES0syx
aTHZ8UNTbMDhXBfoiI2+IhXWhaWS9opJ6ocK4pM04Rt66cJT3blIzG/f0aaL6L6yR/zQ7YF7xGSd
uxVtFN8ilV/xVCGdOoIiA5eUzco9OkOEEiTsPN7/sHcey5Ej2bb9lfsDaHNoYHgjEFpQywmMSQGt
AYf4+rfA6qxiZikre8NbgzbrskxmkAyE+xF7rx1hWoj6K+jwR9SzDNCj9FvruBTD+lkNyo1iVJsA
Vizv6XJIVf7bfAkdBKxN1H3ACbgEPt2uZDHu2swIV+jZlojRruB7KtwFHT32eAjb9CpzFU+NwtsU
YHlo5Vu7SxlDZNFtGqE91iyEKH5jL7Jx2vrwi8EuQZIa4MdrFEvi3e9yEAG6o4ybBj2IwzoiYVRg
5dciquvVv7XRZ21kIvX+89ronnSCrv6DmeT8Zd+rI9X5D4WPhvdVqOzuvipFZ2WF7bI5NEHXM1/8
Ip8w8MuqyBoMKHqYWeea5nt1pLNXNDQgV7Dk1c8/+gdKUVT3P0jbP0WnKqIK8jDM2aL7Y200CCWQ
dZ1354n6uqIlCxqUO062+PJ7ufxlTfmVnKWK39lyWXtpdMswlgRoAWP+Rr4IUlVAoJUVG+VZdKZ7
l4QV+q8MueK0RT5i1qjj887YNY0/3cQa/FfVUo2H2LGDp7KInT06Q/eg2uwGS/AWw2U46tf6WEi6
nzFAAieTuNGf5VBZzmXvV1KuY7UwPGkgybISJb3o47RRV1FZFhpA2bSTS0cJ8ClFjZ8/QkJyV6Yz
1QJlxauZGv3ZNkpIZR194FItk3RcFz6XyGw6U1L8OAs76gv9QkjVTI4yjS/qNgG3hKEXmvMlV/S7
2ZRvOW44vxG3tqy2JEFsTMUqNhpTMhw26Bg50NyMWU2288ex8nRuRg92j5eO1UeIQG0qjbOqlR+d
Lm9SzO6r3qjjJ5vlLzuXpDuxiazPVWNa+zRyT6WbpatporakGdQ/DJjpW1ibgriBqlxl0q8WUaqY
yK+cE3O8c5PDa5s0R3pBNFHE5PbdqCqPqRZWwPRCk6qvDTQbxYUW8lj4GfWlQJJrzP9Eq4GFsOq7
2mj1wbOcPLxuAskA1FbrlTsIZO5pBKIKR2S7aJIOhJJSM2Uzp+sKrf0+VFT1/NfP2B+ERvDPgZNh
Oc6HQzPnPuDLI1aNdRUEg1Ofm1X2wrBPvZluIEstqmW7zbc0rqEXrLKNvapX+cLcG2t9pW39ZfI3
z/pPgiTn0+bOcN+1TFOQNOL81G+YQ913QUMMgq8FezSpwzIJcDOVvcEsw05cIJQ+MzmOcFTFjjgF
dg0NhvfISioGwjbLMswYsCem53bAmd1oNCFtW7IOn55tfM/oRZGY+tPwUKWM4LQaa5jdxLo39Ihj
4MpkqICGFbuBTY8dMvYnzHmOz97O3c5+q1HTNkA21UXVImeOXOTOWb6NmTAX9NyLQpRUNMFR85He
AaaB4liCVsxi1nwS4dTg6psqiJNFowd3QV9s6e5P3eBwHzslbGYeNNutGC+K+Oav3+IfDxF+s/SR
7KctzkuLdtL96RBxJ613y8yvz9ga4w0HQcoPj2sE7frKLNh+G1XAcf3rif4HJ9dMKfpyQv7+NX96
N5VB4uxJguYM8/sJU8hy6ILCmxob/HB3KiqfCZ4FFciu4AukTctaJx+P4BrDhaOYxyJyHkUEnEc2
ygcS6nVZVSetsK6EP72aQfWc9VHlVXlV/mve+K/Sh9Xdr+/g72i3a6q9/NeM199wt4Kv+nIlcwux
8IN0My/2eMx+NW/gQYf9pKE5F/yNOVfouwcdJxp0XMYLusk583mRf7+STW5rpCW2aWsks/9D/o49
u9m/PHK42mYYIccHm0IMIeacHfv1IEsy2rmh9e2zPzT7oK1kfmp7bbSWcSa5wEDKdNPG6QHqZGEW
DPeFO4MZCjenH2jj8GnQmxtA+KMXNnmy7NtuA33NS6aAGl7kGsi0lBWEG3/TsfIu9NyMVqPSQL+G
Uc3Ihj1hiqujz64ZUDz0XaEmVy0Tghuax63bDwiE2OSxsEHPEinnxM8d1LmyohlWgqexbMNL3w8j
6zJM2aOYuQObx+hRVSwsHOuFZ/qZyG8t0hjWfu2GPdtI1W+J9mjC6L4zsoaki6R/SDQ3ZByTFNso
jONxq4n6BLZ/33fmtRkYIxV2fi+m9LYz6DGKsHzVZgu8FXbfYMSjhW/jFeXIt3DGl9eKcbY6DVf7
cN+FkUmWhXJUpOIpmcHead6MGWWpes6IoIbppLFSjfABo7GzzKwEL655kzj9RYyw2RuV6E1z7dus
M96FAQm4yfilmE57ZesJSkyc19uef5/ZcZk8j3rALqGPtmJye6/CE7HIUue2SlVtzRoIirHeKosh
1rYh4sxcytrjSNjpIXxZM2MKBLh+Npkk+UqLK1IWxLgH5Hrla122RKnC8sXQtkUyqkvNScCxjoO2
G6lLFkon3gSYHAdaErETpo+rutlAPn4JwuJA/uGh0d05CIhek6Hxje3TcrnQ4gdfeTPdaZ2KAchP
eQ5qunKmTV5Zs4rM8hnv55cfbaGwUYt6qLdK9tqH7sAGLH/kkWZs7kp7axnMgHi8rrB1t7gpinOL
X2hhTP4lORpXZoBcJQjVa79U8BGnmDTEUJtL5kfNPJHyQrN47GKNGylo9y3vYAsqF4hItBlMYAqW
qIrVlBu7DOzyUJkPatOe3Ta6jVt21pFo7rMgvA7B6uPX7jZqYCk7qFBMscP6erT9W9rlq6nq+Iio
mAkBnMAaiqIRb4F/2fnTdkx9BaOT8lpXSgjjqUw2o8l5P6luCggCkExgNiArheGRIjDti9K+iAmC
WBeOCWi5y/VlJtOW8U5/BEzwBoxlH3UOkt8mOlns01nC2gfwJepGuLMSHkiSygfAM9T4pRZlvx7d
9sKtjUephGLJR10u4jGzlmGnf7Amm8hVKq67qVy2nb2dZryKbc+BKzm74DaRd1o/5VvF4On0A3Rs
TRq9p6M2MTy3H83evNFU3mFZJIxQam3n0BJ5uuMcQ8m4zUL5shSZYaz7Kr6IAgv9c3KdpfIchDzb
fTiLB+NkFWXupRbk1dpKke/2Za97VY1jq8qt216FCypq8eFrxrPQ01ehm/PyRLCdb82Fr2jvRqPc
N7HtLrMsu8+oK1eaCzeHNfUmsrKnYjQOplKMplwQCwI4xzYG60qfV4+kx4iRzKPqm95Du9FMFLOz
Nq8zq5OlDO1qSooN2Mxvta49VY6rb12RD4vStS+nTuY4PUMIBTXjMsvQ8wWYnlfkPc1O2O1NmLf0
06VIt6NAF9DZScxZqz+XlnHTZnhFe9j2zDf83qs7VlpxWeaovcRZog9eJab+Lif8b7lpneJYk55k
37+FVOaiFjfShcv6CTNIzxjV6F8VySdZbZBLC783z9FgRlQL1eA5igZzTKuu+xydxMguZ6WSsJBE
+cD7FCFo00cvMuPRG+OwPGV2vxsz/znLWfZlCm5bzNPBYtB5Wss6frWACDJhjaeVmfvrwNDHrZXX
1a4ojXUCV8MLbStdOw5eL87DaZPH1XPtmESEKEw0/E3R5eFVqJBhQ63lIqLqBVuXzF0PSl4sMPz5
V1aulWu7UncUS8fYjoCBZLGzaSqwDQwwxdKXI/KKrntLKhGvQ3IV9lqpw+0ooS7gfcoxxeXT3dRn
vDf499Ym2JOFkvO+BuSQLMxW7gjWoLhXnQnAKtkOqbv33enAKitj0VTWaz8B1ZHN9mv7xlFs6zg1
FUSBDshIJ8fLsgtvc20auRDVdI2eMVp0oVKTSda+WhUsXvQlzmZw8OSOKj5v6vAB1UF42UbaZY7V
ykuKSG7KcjrorX9Epekl1XQpa/x0OoINT/NRrEd2fXbN+NWBC5M2Pooy24UeT/IfElcTSZwzrkCa
ymUwsbMSor9Hmf5SJMplWkc3CZLMJQRqaxXXqrWojfI9neyPIBPGuoUe6dUR2/OOeSyiEfFUEgi0
kF109t0OZokqpNdXNQoAPznkDpKZeIiD+ypMUVb6T5bGIFHjo0ve0AcD7CdTV2gY2nNJF+0Zbfbq
m5q7IuomIaAmve8KJ0IeGkGcYCE8iVJ4ShqdVIC5rCiSQ4r0cWlwp5qK5ABT1fcB7KXd+UcHWckG
b+Oe2bDrVQlONzN/yMb6POQa2+aReKca9Dhv6L5q1APE9TeldD76ASekhViU+Kyt38TvjiLXTVe0
m4ZoHvaz3aIvlHsRC3K7DlmMy66zQXgkL24XfyPPY1lKRTDps3esIOanxgmWjVXvp6ZfpwQDMfcH
6RmXzWGYeJ4jX6vXmma86zg/2NPaN1Ec8Jc5wFnEHqMapD/mJtwDfOw2VG7PVGC7aAAMRqWz0Ftr
P5lFtuzK6MKqnIXv9g+qzj9eDgX85fiQ9Fa40bP21cBpG9h+vizBaWCzAymS35MxAKA/DzZmqII4
dvTzkER3dY8CpGwwDShldVmCNIQP5no6qJtOwR9qxyaLcyPbMMecPIkay1JRDxR6CYEDa8ea5UtB
SBL9OSSim0xW/GhOLlchdScI/wi+sT5XD/XO1sN9P8YfoWpG66B3LkY13hTTpnHRRTubesxZfhwd
JbnF3pcsAAhnS+x5mziWaKFtChl9+qY7PXvX4JtjoV3S4OArvkBpVlYvyHWZL2s9GTOlkPWBj89t
MKLqxch/r9LBAksh8qResfMN0q3GxkciHfAdvbzKrTpDNAtFEQYKPavyEMqiEEtU0k29T0ALz5qp
XjoSp6NUxitCKZ9zYUaKZ0AMBBEEYNFz3GRfoFheDMyCFkIhUMUNWB8Vylqx49LLE6VfR9AajSzp
PF8Wj8xUp1XuYKqVY6ASghMTCJjf9KiK1o3OzD2uH4wIqFtG4aX4UPgR5u1C23hhBnSJ9MNchHaZ
QCxsM0I/+YQkiQGpupcqqrRi4DoZqQsFFxtQAIv3b37vqM07d4TmGB6rGttNWhre0Npn2UYXbmcf
GTa4s4TtRXVHr3GNI0w6qpui/Mbdwp4vTeEuOHdNFBn7thPvE2limykWQJUkOhvZXYKdwnM8J/bR
Siyoa3rP8vO3GiGVDoJtybprWleNdWSVfq0lkrQTCFFmVvRbzt2jyxTLHk0uO7ZI207yiY41XtBk
3w4noUHSIilvWO6xbduUzJIWrpo8J1W0NMKLpIQGjg+S0KCdWbNbch15RviFrK4EcGHGb2ws2W+o
cLbG6FwE4mxi0klzeTa0C6vNCP2rvLpWgr0UxUPSB7s2jJ5au70r3aJexHhlCcsZLPtmwORJ3Xse
K+05KqHN4TRe61mwm0Z72sVd+sw3eBdGqJttasFV2JbwtjPl2cgK+ZBNSE6KKj4MBEl5DSoL+NbT
qZfo1ypLfSylwCuaXMHzfUlKBx03jX82uk+pWRwjPXzIyGr8Za70fx1KOc/I/qqhJy6ja/5gxj5/
1feGHuQCc3QBuYWKhs0gvf6vDT1Z7YRDIN1lLPhJl/y1oXf/gzmLP8JXY1Lbfg0FcP4zGwoZDjCF
/+ehAPbvGnoYNVAfID7wLQDqnf/8y2SSsVyAwswnOGIq7XE3WUWmf5Mh5cMFKVl6lqEoULSt48/L
oC68GY0AYZKFnirXOjIBfCtaEFqarDq3NbzG5EYX/aykGlBvdbJ4UceJ4BYzepmqhtpPD6kQGuuQ
ZnQUlR9j4nbvYdm1qzJrjIV0iKdyxonFpIt0AXeiT4JjQgqBgsQorNvUC6320OWli7IpepCqdRXp
+cbCsL0sBi+X0yaqMFpKkQnMD8XVhGIfUMCuMeb1QVqQvIeceOkSmMXKcnpxYwgSViW2HetSjint
UhNteuqMqViTSZdTM6VIcpvqQ/eDly7GDJkp9qod3wG/0XGbQAMU6BBplp8GzXgo8wDZM0S6rdEQ
AlrrsOmSUuUqLnAeTg5trSqHgz5F8Uqrp/fO8dddIQ+q229UmxO8LDaN3qxqUitZISMXxOkHIUZ/
b9mfQZVBqyoWyEGOsHzorAAPdwBcONJbKoLo1pmXcWlabjO2c0MR36Zs69o2vyprcQjZ4hGCRZSa
mV1J3tJuXvSJIarzTauoztqxyr2KJzxHprWMYP6ySD4SbJiTvQAJYI8Lt75CGlj6z3GdBtoKCHCQ
XylTO5abTGWxF4hEPELVdKm7ZfKqmTobaWqCSOteiW5Y2xqG/97hj6Ouf0de0CxjggsWmRy27Rie
jdx3VtAHx3XVhh+9wjYxdsYnKEu37TRcqVJ91utyz13wFEkIQJbZAGEOjLdIG/a9CMbnNKzQWLcl
gbM6UEEJlsIUuEXM+orUt61dO8qRGNbbMeLHAoWK9StwLhhowfkJJ9wXpteFLVvbxHJXrTWKLfWt
GhcGGYbI31oC7LIS4kZKoGICjJndSUQ+KvcWPAA8s5L6oghfA0rvZdqN09rpZ8nqGGw0pXliObMt
+NiQ9UPLR+fI2qiZMOXglFUJaxt6w8eapFyOvvIIzHpvlbrKcje+M/0wII6SvUfjY4kh35b4tS01
o43Zqdhz7fWLkLDMrnK44a3kownBGWfGi2xQFaTYcZIxPjuaOJRkTCyswj3kJHvOABMJAZnFeggn
I25lv6kGUtvakIG85qYveeI8TXaxylJzJ5rgSU/08mZSrBmq4ZBpq5l3thLeDDjshNs/VqER7crQ
3U1DdfADpzz4RfNoIWBgvHmjWBbSTudCcZurELxGaUznLKu3ScGzOQFj8Uo17yg6gmsJ2CUhSzDo
ok0dhy5dGFJrPj3WcyObXajF3bXvSAhIebpGZHOwWhqdzxP936ttXnP++az6JmqSmU7LRZYDrRp/
m1bPX/flckO0RtiNCcqH3uPr5ab/x8YUSvoZZnvs9PzRd9QQwjsi302BF4KacDbZf18go7xDWqe6
DpfRJ0n+HxlTiSP7eVptsISGDCCILbD4Vn663FS/a7qktorLoRaIV6XRM0o18GMa/Ta0WSnT8tOr
Mmy74IcQB3JAMWxY5LPuUoIIHiPs0ifLEWgXdL26iRHlbs2ha8594pdvJZjGjU2YzjFMKdQ+1UjL
0lWYnWQYLC4bGtiLigjhJ0VY7Vr18fcuUWulHin3OUdH6YIHCq+J7jUvAlVV9hrzK/IUyeFpndF8
IkoLmalmEjzahPj9urxgf9UpjHfMsbjXO9GS4dVo76S3pY+mSPMtUz9mO6XfvEgKCKjIToR6i6vF
jvv60IWyvOrjfJV2dAVBFJSe7FVDXoRKbsjXAg2QcVAZJIzDmkElg8nPEAY6wzg8h58xDYQx5vWF
PWOo7UAdwpswdlFQw1eGPoTA1+7PYNTJcBCBEQ4GnU/vELSbyrJXPOyQaXSwlBwrCui38VsstYpZ
UO+CfvOHJ6tP9RdcrDjq0X3n6wC5137srPEGfeP0QsYW7plciwTUGxaAeOTcjV/K4Bsaz4hObJpe
/Cac3q1oeKyVap0H0V6x2UlnKn6B3qzLLaGQAS2m2iFyGx0FOXE7HpNiKD2zdZNhMWQFbVjUB9G6
yVqdPkTOm/2keiBAJ92RInSnI37eloQQLELRc7c4dQthqbFunLDMdq3SunelIPYMKp3wMq2Yr+vW
LG5Zt5PtiCvvm2L3yl5PW2ZeSCgh3yle3UogtIrSDCvKqar1Bj8qP2ylaHZj6ecQoZwGDf5kPQdo
ir3JteM7oLjx0Y6N+NRgvnhCuVdge7bHY5NMxdPUDcqBh5cwJDtnPxDU/iMDtP4u5+Ze0ZlHN0o0
lJehTLGDIhLBbWwYkj6pMVQ0UW7Ysv4wGy+oUV8vAyaGW00ibbagCab63h56nZYWPuuCzA71nVaP
9ozZNirSxlq0PbfQv2fxp5ZHsLn987PYe0//51zUf6h15gt/PYyhTlLGC56E/yZt/NZpGMiWNfjU
xnesyQ+HMae0QLRDJibn5G+HMY5F1pDwSyzrc6/4j+j33BI/LA4xysDPRjHkAL7ndP9JAdH6Xdyk
U86YEmmbSKKjHSRLXY6rL7+ZP9qJfzYsv8EI+Em4P2auAaxunVvmZ0o2YfMJSs+kvzRNqqmWbGNj
ZU7djMNkVKgFzIh6G/1aW1y4Y3eskvLO1mosIpi5lz2R7auEHJCDrE0GWnx2l/rYRoCKQGL6ff3Y
NyURHU5IwT1LlMMmvSl5waVWppeFiChPbNwfTqVVzMjl/NnLZvmrc6iI6XQRZ2OObCbP5cOk60m+
9i25Jlu09TrMJqwU2QLYxoPi2CfX6FwmFPojB2+xlIN5Awn0WsmGs6KY5zZiZCR6JH+W4+5qF3+j
n6Eh4Xyi5GKQFEjpaXNB10n2Wcq0xsn14Dr1uxbYz0E2PtUzJTrpbLqFMbo0a/9g2Vm0Bo6ztQjb
2DQhkZ56Xd8VVrCNHCNYpmF4QBL/DeZmspZklXiWBKKSzqengvRgkcLpXavt9Kxm2Rw5Fl8YDqlD
I8AvhTDSinUlKpy7uoHEN2TdolDHa7vqNmydt4EVKIi5CabvDQxjQUsGPYzOG2VE55S1bHxs95mZ
/kowNezmXWXTGbigEGo6tMu8f/EGNPOHM7IwFZZ5YndBuZqjJa9o+lS0K1pPOvZIl9mHarRO1PSS
MOp4jZVzM2XGKQig07WqsXElv9twvmEUy5ReWbnP5OZtUd1fgyQbPX1q7iMLI39AMDEj1vSm6bsd
civmS7p4FSkRr0E/3qd4vzaDPl1oA078JowlGcr1m5pqb1qf0sxhhiWRcweqQ6Wz6zeI7q+yxPEG
u7COtj5hLkzz1ykuH0ObTXVmFbf0VAzCKzvZ9h3zLrtfarq/RlNLRDKPGHQAAyIqF3P1ksdFUK8n
R2lHjI4DiwnB8BZGn1YTym3ge/OE3a9Vp58FtPWwT1MTazpDQ+GDRTb0tx47YWSqazlByV6MSSnv
WSDNMt8eM9rCjOZWaVAjL4m1nV4aWxXFfDszwJ3qhcnAtZoo7xR7uDWp9gueRoTdkhDBpgVF0HtF
n6g7JTORqPfy6GCH9RRU3maUoKltZDQnS/RPVmw3qyEoT0Ek/GVTDkwj5kzy5ljGEH/aBkdx+zj5
cEAGkqVkLIhuL06JxUdWz5NL+pNDqii7KUWRDyguXE3DiHdCRm9WP2aLuI/honXqddhamwGnFXKE
Hi0NMmerfOzrFbyQHYZB0uKV7WjZjNfE82SiSkQkiFE1fU6NG9k3CM67fclgN2X5TFjqUlvD4w5d
gypt0le9bmzxFK5rNaT3nUq50e24XQtigkAkGc+5oS4QVfWer9Q4Yvty06n5xVj0T3URI30fjfu2
Fc6pVGKjup0z/QLHqP1toZGa83fH6I928PkU5bowaKopmplezbHLX8dCTcMg2R+t8bJHv7UwNv5+
uClOuxhi7Ev+AA1uh7x44R/oazsv3ui7vz7GZ+XSj4c4L49Lnpgn1HKIrX98+drvTKlY3XQp7ZfS
37kUuu7wrBR/J/78o9fRBJJQlYWVwaDtx9dxW+6siGz4S5UiHtNxmr67wY5i9pfKhUDvPw7f/PH2
++XXye+TO1AVqg1D5MfXqQDQm50aikvLPNQWOCmQ5MbDX//OjD96z77+MD+9SBcK0WiApi5ZSN0z
817JrXhzPAfKy2mm/C6u6xWmmbW2vTs7Xro4y1O0vm9W/uoq3veLLYmUx9bjL3rFmv+t7v/6+9N+
ksh9PlOGBvxAJ3Ub8dBP31/aTRMDIqFe4iw6+1diJU7qAzBMuPZLMqEX+yd1MyzP1brfmuYyOzAy
u8JysQYO9q9h7hcBmsrv/M8LyWPR/M//5sF7+t78vq+fv/R7KQna3CLpEAwaYYc/qtDQjNOcM7D+
xTSn0lJ/V6EZ/3H4tM7xS4LC8VOg9l2FxqTbJfdYmGxnmXkDsPr/EIbbcIiESar7XJsiYZk/bF9G
1iivGa/mbnzustUEgNMPN0b1Nx8m+Bb8K78dQSZHAq48k/HkjO5zKIB/fJUK8wTueTM+t0UcpV4B
AjxcuIAvlj4utVWsNwycR02lkHVy1qthvEwn/yBZx12LMrxKCb3GIB0deyFIDlAVc6kym12kaiSW
IiCbSct2nQxPkXS3ZacexdRfASE4VVNxGGr9IqqDvYgT0JxA7QCfVoSQzhhZzka6Z81945KHXpzA
CiQzijFc2n1EKHzRiFl4TjhDXcJ1+frBVpBEIGSz9r0yZRu/H2yvVbADxS766aGbGCskOGlBFBv3
vu7aTDVM/VnL0NEpOCs3kUhCaxV2VYmpnXzzh4LKjW0wgq9t4KLb2Kk6y7iF1J2zNTbjsIHVzm0M
JQ4mjV7qzv2kVZicKi3d1MoEXFwtetDHyxJ7MnCbzszaERLYYCoX1M7KiX+/9GADgdUdukOh5Bun
MCLP6ph0u6GGTsl2oq2eGsm++1TW83qo7M1Pxb32qb4P0OEXvyjy1Zg+fpbpu7Vl7yWkvyfaKONB
2ljCHJT+N0Ch0Pg7RYLeX9PMHu1/KBnSir5x76BJIBDMDZxqHYIqrRxCBrsI2hB1jzupmfLsdh07
AX7nR6YnzUsTBodhZFE3DsSauBW4CW7pla0iagxS2V9PstvHmPtWcObd62BE8Yw8km3wiPm7KImX
HRI8AoXq2VX04GSmPPLWSc/CC7+qW5SSjQZjaEiHaG9NXbiySbPdtG1KhrxLRHsTShbbY9VsLF1u
eyO3vXDQmqugjAEcKNmJkSmJGA1pYHV0ZRQmucQd0C4r3RagDb1AF5eN29+0qi3vAgAvH8U8BaPe
svrB+iiizjMz9jN+pd4KpVsHDLgUrUhWrpKtE6fBKMhcoLHKt6Zp3/Oofh/j8b6KGXTocu8O2ZoD
ZGEb0wZm0mlE6a+77VY1NeTJaOFr+U0w9qoyZZ1CR9LRgtfd+JqjKwuKV190qtdbqb7ByMc3Ycon
04q+pZNlrKwmafaMsGHL9tMRTykISe1k4YeFL/1U8vY1rc6kw7FXEOjWgeZsOzE9QddeBRkS9UpU
CxY9zOKbXOzQMcSeOoaeaduX/IzXJowm6AlT4EW1j7REiugUGhbLdF+7alNSlIlcOwTawMPcqpu0
gqKAJZ6nLANPwIdIEFyjuZBDELM5pX6E9/LA9mSZoOzotOAKtfXR5r+l5h6zTl6FbrRPNbKDfdSc
eAiozyHLxSQfL7u6+Iw3OSdK8lwk6nOZZHvmuocidfZxp15NPYYNdDhFmp5MI15WaTUeJttmeEVf
6KAqqxJ724FQcWtk9CFQuHHq904xjbtqAvyFLvItG32cCmGeemPAZgl8R7KpXBApjapcTyNTti9X
0h908AyPf3/yolVmKQr5bB4t/3S+h6OaNSPk5nNRJdqKeRkGVInjmZ4yPbaZDpKSyLagIC0pK6d3
tayaq6pKxK0z0fgWw3Dd1fFRDEQZuPaDGNoN8OWPPIkDrywxmAUxQknWOuti4plO58wh32yWPTxr
VPpS82yn3aLk+Ia6tVtGcXOv2SFbPrXVl6pIZkDwsq+WzbDDfgP8ws83alxvNEPSarC8y+y3Mc1u
Ojved6icpibdV512tMvi6DQaRlpgoV4zRlttCM0lbc7S8lEAhDiyIbzaXiOaa2PsgIiE1l6ELp9r
PRBHvyWRIq6Huzgi4s+12Ftpo3ZhAMdg8U+w+RAlJ1lO57CJd0lvbsweuE2EJ9vPEzLaHdRkmQMN
AfGxGZTHNEBQZufaRZT2ByCpW+61esF3OXGvNYSG1xdJnF7joA8WMpepZ4G9X+qlWPg1CEG9kV5G
oDy5QvGdgWsddXH0AibyEM2ejIEH1KmndZJUs6Buo5YZyGn1Kc5GlsDW0nKNLTvdExCnt8K1j6Ki
5w5c5c1XAdeXWoUiG89gwkR+R8oEZ1l7jGzrURNA5wV0fCQ/TwR7q2wPx2RFqsCFPpmql88pXEYZ
O1s0ed19QXN/IIOiPqWoxv+mS2E29nOJYFHLo8lHookd46cSIZ7qfqjZuZ79LvL0eF9r/2U//2nf
MLdZvxUhn34dUyUJjjYMMhgsih+LEN0i0pbQn+CcWng7rYuoi7ZReV0TNcIQdxmBCHDj1d98AH/i
ef7+Veef+0uB1ZVgbAxdUU5izG9MTYPuy//hVnwMDGoPvNXxsnXMB8vXd5J4Q4ZTyPbSvJ+FgVGx
zOvpsVDsY9QCNWiycJ26vfrNCQ0bklB8ZzlZ7wXJeLBT48nyoeGoqW51PE15AabKzlcO03VPLSUz
n3wcd91g69+KnGbZgF2/iqLoNeVZXVUCbCAn8Aj5xhJL2bk3nZFOG87DOyIptR3QYex47Vtsu1su
pdumrtcWWSro6LCMi1BZxSSaLNI+zzfj1IllhcDSq3sTtXI0XGthjqEhkuTqBtYCuc+Bh/6janqI
l2XEhIRxQG/cDlP8YIhkb7bofOqEYi3ywWPGLdNAixlUMsUHDYNuPvqap6dCcMEknLLiQUIdxgud
nRwwCXkNUcyfeILFKmmDbMmAEbdb5sCzj7GZp/6pZAoWmPZWLSBHO8FwE1oIDIdSue1a5P26TnbZ
ZLcbLHxEFHfF/2PvPJYjV7It+yvPeo5r0GLQE0QgtKBWExjJTEJrja/v5Vk36zGZeUkr62lNysrK
iokIBOB+/Jy91342g+pYy9llVaJEIAIcDdSu52jt9oaGLdhmRVSU23wKN6OPMrevu1NpskfiJdjW
tf7drmQEAxEYAENfB6V+sIa/z2L/+Ij/aCV89oyLQvzd0zagTelVosaP8SG/CE7SqtpXd3TktvQh
DzZbz+JVHTDFKUcc/v9yIv3jxQVb7w8vmAVlzgTVTfrjrxdXytBmuq1LR+Y/bn5QF+WqQ1K7l+6t
FQfU27O0ONz3Hv2X/pn/SE/wtt1dtPJPjIayLz7Nrxvfv947jc6LYYM0x1r6oesxQVjSFUWM2sCU
akyh5Pu633z+dv+6Zv1+jQ99+LnOOikMSSAtqu9BTU/z8vN//4/fweKQbxEVYyrah18zG81ZkqOK
zVu6qOiO1gY1579WqP/O5EX/6Z+P7176P8uihhb9++Fd/OG/D+/OXyQWs9FqOo1v0obfKc6Uv/Bn
Y+LimP634fvn4d2BQWnpDI7wlzEFEvP6n4d3kXCqYhY1OBGTgMmw6j84vCML+OWVw0Jmi/M7mjhd
oxXGv/vrK1cFPqc8pYcWrRd3g8DF9nBjJSZX6Iab+kKaBVSWXveDoZctMMYUzJMlWZTQMGcaqc93
cwCrJplpscrQaskrtJY1IiFOk6qymoW1J4vmCOAwnshW7wqv8h1WceAiZBYSgCbAuNpoh2hrrFsH
Zi5N4XxlzhDxmD3veDODTQ1ht43GexTzAtxSXtdFCKdYipyNIgevzMtvRiKAYJecCjlERSAQvnId
KysOc0yMMXGlQ7QmCod6CvIvQLhHv1V3rYm0O4QNLPdBugoqM1x0A0c5czRezDohZVlAheuRYHen
GL+bhfkdR2+8BGnSLXErHJ1Re8jVIt+VXVq4Grxitcf8IADGfEzi1rIzp1jX1nprIYVmUdyNaI88
OodreIT4TuDKQ6iggIbk4IeErBnknaWKNwoGfZGWax0qvVUPV4OZBBtZAOuz3iDSZpjnZYws1euk
EQkAOgdIlXcRxPteoO9xJhaIIGyU3QKMH0PI56i71cz2KRPo/EpA9Dto+rPA6tvydGen8WBfjA2O
3rIdMXekdLSdQyiVb5xpceEQHOY1MaFHxQjlQ5/TcZ1F7G1VFDvbsprCSy1Rb2FRABee0PCpgDtn
6JqPs8xsHV6d0910ZhqcEMCVu1nOageiTLIpjcIbYvlKIUSTGYENWZw0VTTP0V00GCUtpc52CYCK
l1qA96s0y3FpFC3db6m44PyAXaJBzmXin5fAeg8xSO6OuWZq7vQu5xZP2dKPx/vSiL5ZWnbwyQpx
BZkQOBFSYUvqnjETkqWpa4+Smj4xHSN3IbDWk6MXYM3jjSqT0SqkC7RnOFnjAqpmezVxNB9jCyx4
cjB966h0eAXsCQn9nL/JaWF7fUeUEYYXCCVJYLi9FL8qpvRAo2s1heNVGraHqZduiO59aul2M+Nz
3KqT9tWIdVnzb8c83k9Dxq/lq3dBhoAurP0bf7Swb3KHSjXAnF4ydkps55Sr+qNvDbemrMxuGqQx
vD7WfCuSXxrduRrq+BTgesEbwAHY6s9oTa60ie+S+dFl3Shb0twXFL47YQHrzGFfSsZLMLV3YtqI
4AD6knEOo3mj1RnxRrCnk2Z6MDoAjnGArySJkEQyDseBU2G8cAQixh85UPVR/VA32U5z+mOiEb8n
z3dYhEDbSb5GOTdsy9qIFjywgJ2k9Ar60UupZaBSkrR2Z5PWXRtrHjwT2/PbovFUEpJWhYPgUud8
EZdZvMX4sxgbYNcqeCex4rJKKTisOAYWHYcZtWrlFa6ey0AGIamgQJS5BaxJl9qE96pzXg0TWWhp
mbeqqR81HX6m1kHrIXgxXBZiiavhdAL1u1adHG9IiDWmbDK3AbXlKEa6ySBfQq+AjJG1nKh43ro5
uFZk/cXKOKrT2zgSAu/DS5WkFeP3KxRU4PaCRFlMqvWionPylDwlD8MsseRLM5A8lYAte1oB/Hur
29m/jivyiaJaucmjPidDxIpey1A6mUXfw+RkjYii+yHsz7UTbjLDfpuZYHkt+cuglmTQV1WpLKLG
oAPJ2Du7z2CKBcdZJZurNfsCF6yxR0Bz4wh6dS041vNcPBVz5HgItTSi7ucHv4djbfXNi9lK1WLu
6gs9Sk8hgGwNUPYIMFsR5Gwtr3fprHpJoCNvaY1LQNnHzqGHaQrudgyA2wbEjcMCtppgcxsDfQCy
d280sN2RL+9SMN5xD887gZTMp5kfUAQdm2q6y4zhshziC54HbgJQ8Aw4+GwAr2wFtKuXc4yLADhG
p73OQYormOJkEOO6PN7mKm1Y3bgwaVWVDpZem/8yCjq5lZp0XAyI5Y4ZqRwEoJjnstq6QvoP+nUD
xHJTC+K5Bfo8wCDKSgQNHbItSUM/COllvJ0FM11KyKb8QVEXPHXAbuoWHFO0dARtHd9NjjmX8z/p
9Io4p6PCRQ76oxj5b1Um6vB/rspuvofP2fPvJZn4q58lmYqUBkS9oZuabTJYoOT5twlAwL/hztBH
kFVKNur1nzpJ+S8dLg0ZbHQYCOTSKOR+lmQO8xTGiEJH+ber4D8oyVAJfSzJIA8aAHsY3RB6bv4w
Cbw7grEEaHLKxzj3Tpg0S+iDxLRjzROQsA5amNISI4+FbnJ92F6jQIoVAi6mQBlrkUkvSg5YqyCe
bmypqNZdzP6RK7wYhUnGN7wyGqKQyxATIgI2zaKTlhpss8Ymop2w5GFt1qZ/CPXJ3MbMJsxK1Ral
1ddHQ9U71wAItxot5aUlAlH2u3ZTDvmpRhxP50xEBYJ/vZpgr4EcNcVRF5hUApgNPSRLKGpKUGtg
24IOHvnkYBzI+FT2mKzioJM2isC9xQL8ZkOAU3J1pMzq/Qi0aNxvTJFYGAhoXKuB/gEooJx9NS6Y
mgCXawVmzlKw4JVcfhbBazV2C65CJNEsYtnAXAFF1YZjSmJbTHIb7sJNW6O8oYdP1jzhbqaIeSva
ns3aj68KOpGJWewxCYIPNPGfkjk9rWcUK6xa+NCQvizqH2FytnRbzs21Q8ocdHZ7a2D1rIcEfQpJ
dFplvRYk01Uiog7JwY76/sJo/ZugRycxDPWyJ9WuLokIIuUO6XizJHAXnUyuW+syLR7iId2ZZOON
MSF5E2l5o4jN61pnFZGjZ+TO91IE68EiiMivI2yP6GqAZCnnYg2RxSGKcCYkIqGPpO8Lm8i+BFOh
S4KRaKAaoyfZJPtlIuNvbpp7s28ebRPIN1gelvCow3IehcjzK3p4ZAVmIjVwtM2A9uh4Uwi03g/y
c9STAZLP+CQgQ9AO17uLUqCiUbbEXg09mjPEQw9NOgtyfeVryrdSgKZDgZzOKVp9AaEOcqtfmQJM
jUmFQpfHdd3JzGo4XmRY4QXMmo7YVmKktg5sskQ0u+BFgH09wcDWk+ZFE1Bsxx8sT4nJT+9M4j9z
qLEYwbMF7365KAVYO5otMBA+Rx149YCNeUf8kfSOXiC5faK4UIVivYbWHfRgu5HXnzU43io87xCu
t5nYWwnOd0dviwpzODr8m43eXpcCCW7CtEgy895yOAIIaPigYcCmDqXwR9QjuOJ5+2AJ0HgxtrAL
4tLxGgtHSuG0DgOofFUk5VFVSeeTstsm6MgYCWi5l9lGgWkeqaR+wTjXO8AKlsCe1+N4zlJ13tly
+hiCSDdMhMGmPFjbuLIOqpOdMGKsU8FVJ+dFXRRJAh3BpDENXcFeAGGPth1IdhU0u5KVj6lgtcMP
wWMLvp2w2vuubs6q4Lpjd3MofmG9G6GOz0Lw30NBgpe6dh3ADKUnzgFRAhc/mP79LPjxVYmUY4bB
MQu2PHDeEWFZukQ3tPXn+nslWPTqTKBshQJNFpz6cGJ26nBbFz0Qeygbl+0giJyCb9/Hjb5M+trc
0NF+Q+2414HhRyEkjFHw8VNA+cRpPs6mduPjL17UgqVPiq2EE0m5opOLRhcCUqDll6og8Cug+E2n
W7eCzV/ltu9B1ryswfb74Pv7sDnKP3j+pb2LahRvvpVdpsi2OAxJu5AQgMggDUBux51JPADnSaoq
TEkLYBwgKfMh8VKRJzDL4XEWCQOGj0VKqtO3YPZvqjKgsauItOiIZIIxjL/VJUL0Agm8LNILdJFj
kNMQIJZSmjctIQeWwDDP1Xw50Vf3pB6QdeIE16MWeZ2ISCAqwXGyfqWX9Y7BDpWIEgaLSiQraIMJ
mcUsiE7KpgcicmEEyM94wkBmqCQz2EQ0mF12yzT1gNmEP1UjT+/1FUE8MAntfUTIQ9z4gGh5iNA5
Yzwj4mo9WcrrTDSEEbBmj4RF0BL1KqX+Dun/2BImMQOdB4kGGGQiwk5THgs7J50IgjrmN89P5I1F
MIVM0Jwu8s3QtbFyA02K4H4bIs1inKybkniLWTe+Jy0LZaSZIl3F2vByk7BCKIaiAfUaG4cyGGq1
SnBGynPLaFknx2nAgCrSp3jRLmujx3lDCOya1u8ze2ftFVEIuS2cCpSNmnm2bcleI4FX13VTg39T
rg3SV0UL4Vax2kcyJ33OBdhuGmxsbmqV5EyNdD1U+0Xz7XFdOzVRTAyv4oqDOAM8uHVgHXCS0VnW
5hNzMGPpY9tmzzsOHKndQbB5HKicLc4lrZQKz8m6b3ArSbuyqm9amAOXcZqFTzTOoiWWXCnNztWD
KaRD4cBoG1vSZvGtiresIlPPOIWWzFtGwCNAymJVdMEGnxxDatZJgtAx8+XXUzGH60iKnxKrfMXF
Bq8+Q5vgJ2vqCH4Dv79WDA4P0Hus3SzhoW8Z1rOIJ4uU0oj0qXkitUBpzs6sL4Mpe0uYzS2YLZxH
cDFuIwUHWQMm6rTlmy3lsHR15xFvvuJJFbOoIDefk9Aw3DKQHuSq8y9rOz+ymjeOf9T7cB3i6ZaY
8wMul9vEqU6MUYsQ4kEk0+KPo6onJVFxqvDw3zr6h8pdwKz+uY6+LvLiT3W0+Kt/19EqdbSFMonm
uABd0a1/V0cbGpMyU/0Zh/Ozjtbsv2zqRGSmlqJjERH/4M862v6LNikicVxMzPBkDEL/QR2NnO+X
Opq2II+QyPFBNm9rjAU/jOuSvMSrCfrhrGq4zgGEzLxQjLZea05hvY5IR878ZCP5IKtjxbnzW8xr
Piv70jCslzZLr61scFym40vY5wxay+ilk+Rt01eHRIqFbbOGC1n1CDX6dpVoytNgjcG6UQdixqpq
C8wEPHR01lppm4XOsUH+o9SNs+j8uFr0E3kCiKc2Od7TGT+ORf53O5jQwaX5IkFcs0ij4UrV2key
EjDcJ/nllEgU+0yYpDCqYaQwBKFqWQU+Ft74AZDi0xCAqI2N+KqpY9mtq2ahZMT/yQCh4pm5GoiF
o1zqoo+ju7Ki72ejPPV5t7cb/1vpMJ5VzScQYsmlPsLkCXKfZQmOU6BKj0NteDBilecadpE7II2e
m/ouUuVvAdlArFxaRd2X3iJx+oZklC+SMulL7OOUBqig+Q6+nBwR2z43cdGsej+JvGECexCqlbHO
DX/ro5TmkJDd4rI5N93wlOGldBNLPYx2tW51xv1ORm3R23R66PlVvnFO4MLQPZg33aDIi2l27mLT
WXWDgQs/XMut3S8aO77MQaKQuACdopkPQ2PL3uCXD1FogO5QK8IAneSuajCOJUn7YMzDfjAryJZN
9lbY9RE3R3AIk+DkgIla5i0o5wbvsdKqm8anydZUwY2a1lu0ZvhWrdbZscGiEzHDb3lgXQf+tEai
NFJhZ7upUBVgmdL3US/3M8YqM27v+d82eUGnmCBAm9ikqHHDuL0A4ZAeEOjcmAfoauwcFvkIvE9L
8tPDpdU1b5mCmdaq12bPUaTt6mDF/5FWZOWVRUflnbDF9VJzrfT1OjaSR31S1iAtAre0DSKaACq1
BQDUPM8uuzjE59skK72d0wVrvjeF8HSwsdiLZK4Bh8JtiDPc4aTIrNWg2CeGzjhZ8KXYTfVk2MUh
XZOwnk50oNay7u/bGciXZEfW9Ionob4HmKQtw8BhkGqSBX6lljKp7a4NEu5SLp3qikxpUhsUuiKt
Jq8SeuZup/pvSTB+9wHTLsKCRCuZXcjKx7vGrF/aBO1FWRSXVuCspTC5VMp0ayPSWnDyWpajBbDH
6pFeyJgfjPakoFPjy5VeZVnwzMZ4U7Sj7oU+fkQnteZFjO1hwcx22RYjm/f0PJoq2bnjk40XWnam
W35oBDuxtJ0i6ZBXbE6JtM2FxZpeXhCnS0fyN0grkF4REz/SEJ30GRZbe4+wH1jZFCzVbMSzgShL
izCNRRVbeYI0bbTWA6k/lPj8IHdtHa+nsVt19oCZvNtGEsffBPHYhNgrjJyHLBZwzTo89CV2lbmK
QCxlVAMkwm+wu52gt742g85LAP9qhIiT6Nhoyumod/F2qMXQFFge4/CB31ZgtrpN19SvXd2f49Fe
NrF+I0cBjfupPsyJRbyukXt6wlso09qvRsUB7ipfG53/vTIbns4ex50T2IvG6jc00Kn/K8D6GvQa
ee73IUqUODJs12aKH+rdcSA5GCYUHWgqfD2wH1OtoxOJCIz6pwai71jdRWT297Jabn19XJm9bHno
YFj/xlyi/1ZcaaAOFtFcn3UZgV8Qb1IWwDLqT7453xDe41ZqKxh4u7qi1qvAqIwgUcDfrkyz9jRJ
2RLw0y8bjr6swhp0lnaPd1GYOIDcTVBhS/kl9WGSt2r3pEU2RDd0qlvFCi6Ew74MgktODgfHpss/
zxwHTVRbMiI0cmnQfZdB7MEQclC+GcD6w/FCS6UVoOAL1bHfCJwn3glxJeFJDVZ4Aooq9ExSe57a
8qK17Nsx6vCaGAZmmcxwPPh/6UOi+dMyKPu3uOn24ShT3+a4AYpD6JAF0NURrDd1qUb1mxFMXtcp
5Qk52aqK51syUrGK9MkdK7DXgNyrJZ85kew84u2/H6txP2QhyISOLFAAQYtWIUqFUVQ4chgZgr3e
tizj+rT1KyfGX+VXk05fpknu+lQakqVCytoKCd2wsEfbS+VoS8ZazAAum5djEX6jjYy6vOfk09TK
szPPZ6VGRUK5ENAih5df0wr1terNavuEajE5tpHFcjmN+TIsovsiVi/odl2RbAdWotDdMWxeAWks
W5ncGmk6N+ZIBA3rV22B9c+N/HacpDv4SvDQOV0NubYs0wjT6TSc+wTlhj7b13OOISoFJ3FZc1Dx
DFL3NnouM1jye5ximaL14RfyAvVXtwOTV8uk2yOr9Ppo6KmWmMy+a/M1lQ0LENfcWbnO3Adj1V/Q
TnepkJ9vrpojOaJeAY84OhjrYRluUKTtjGATH8P1fwvcfxW4nzaKr5/z9vl/3Of65flPYHZh5/hZ
50Jf5+dBYg+TBf3zh1x7+rME06jUtEBiKEF/jvCNv4QTH33936GQ7+pc7S8KXJN9TcMayXj/P4qt
+VVCwmPkGFSgENMpcBEMaB+qXC0kZqKdMv0UZk9zcxrHx3d1/x8UoLrCV3+nyhFXsFS8B7S8beJ2
fvNwdj4tLaJOu1M3Q/QGMz6BG0/pjhp1+9aCIa/jOlpmOroB3v6tiryrrmKvs+BGmQJkXsCCyq16
IzXyTdwRpwXxXEJ5j/SWhAmC0BrBRJ+JooInAiZd69tKOweZwKePWOQCbiJtJvoWK62Y5sYdZGPL
e++/DYZ81LQsNJfYQq2lzijqG6p2HzkCLiy9Uen5ypwo45RwSyfRX7sQsXPL2r3QQcsLzMuPIfnZ
Ki3JS+36wakDzUO4wChQ14eLeBwUV4NNvlJqOKtTneNFjZ4SVT0gxVvSXpkOQwDHlbisTZ6387L2
qxvfSNcU/gjJaOrMc/4kyQMTZX18yxLp3I6UCkTWzqtOt1nG22uLNpQkl1sNb2MiS5u87HZtKRck
6U2XY4J+eB6Bz841RtlkR93y7Cs9kW+sUog0l10SPbdw10l+hmxt2Js0iM/SzJ8TGI8U+rFJgh1U
sE1WGQc9p31aq/0x1UhvY+mty2pjThUpQjqlczTT0knSC5pllBYzvYgIbCB76GKS4p0u6Teo2hNB
vKFTNevX4H4KfLdEhXZ2tJ3Sij5QzDnej801Pc6GoQM2U93xBsy2/BYCD0KMZ0ic88h5zNH7e70g
5S40TmZjPjbtTLyZfhVmPqM9QXTQ+2M41NtiGshSjIG6IdLLnGGDmOGA9eDaVPChtXF6D+ftDtM9
OshuVdTAcWZjJY31k6m3KDhaakOteSz48uqUkX44zd+S1PImiwa+b8DUHw/MFG23q5Cb6xNpeC36
YFe3fLDd1hNvwSqO4sfABxM4NmTRSF3HY1O9kZG2sQVCWCufulp+lCT5urEEs82Pl/3oLGQjfZkT
/zIhOYTM5uCQxHUCZRbGmS5ZNyExbHRGwwUECJK4s+zFUTBHS2XYe/ZsGUd7bPJdFJkkmJb0jQzz
Onb0h65sUA+rAMU55fL2xIT+KfFe6qD6qRUCRwMRgSspxtVIgMGim7p0z/SaPpsJz8hJS2bieuRz
jjFPQcv4KDLMO9lEhAj8wX6pnRbCExsYUwQaTLzfdY/EPpskaDdoniPSrCLzUCFQpNwlm1qj0lnU
UpIsYxozSyaqtZtyXPbaWSdpoPWx69IvgH7WgbwxDaF4p6aq6j0Sm3Oplw3pK6Pu4l0hXFGtmg1c
7thj9nAwlQD4XVKi7J6NtT/ODp5RcYbS09IrWpF5nkXp2UrllHaU1FwSNh/A9qCTNU93ta89W0m1
YX07xnATF44iSUsCAA9+osLMSiEgJ6YxgnYqsmvgHRKvKj2r+y7Jr4aecBeizBB2I7tUqSpifUkW
WbcsynxvVeRv4jTk/y+CXoizKTkvsUbt4PhvGCeRh04U9twe0lhah0Z4lFP5PqmJg+zk3eCQqp2P
yROBh4bbkNYy2BzklRYdvK9H1guqJaJrGYIgtqmG7CZRsmHVRxpW1QLt94z+NLTnxJujqD7OdnLS
1HKT4O1VqMYXIqEJWzchrYOxZMnbqhBYvEAz62069bemVN5kRIpyRuxSijFcK9MApJU1p9sNsllg
gRW86UhCY8uMYurQY3E5FLnAbc+FltYcKhIK/T4OyRXU6Sqz9If3fsUV1C69yTMtWmL1dHbdVMe7
NA5OOdJqGoaavSWPjFTfwroxKjIkXD2G05ypsMUn3fdX5DPdmD4DzNyYhZeY+VJHx8DoAoUOLjgU
YCFrEJH5GgMUiWj8oVv3RvdQ0ydejfYUAXuiy8yuFLYbvc/5iYdypdlZzeGpeDT7cpsPEXNMyuOm
IMvV2iXVdCuHsddHjBaLMrztUhV+V+XgHSIKrpDieln4Kbq2Lh7Qv8iPnC/hII969dCZIMHLIuMg
HPKgW6RCuWhbHlQhQYA0MxLCLjm4c+WvEAu/6vd+KEhtmD/wFSyEhIqIhnlfRapZxpQ7iPNTixPd
GNHpmsPlUDdf+EDUP1+HZp8h5Lm/FwGtNYMwC/NThn2lMdVbVqULO8ueWC5rRmQOP8CUbvqxXKV2
smnUEDo0MRZqvmelOhg+nQMnuQx9Arkq2dOYMXBwcwmfI6wahsnEK0AlfjLlr4IZ/vjJcS7TbyRV
k+H+r3fIyLoiAiaTnwa8ecF0I8c0nIp/tYn/UbrsCJ3kL7pp0WoEcYEWhXvEg/7rVSAblRNI0P5U
BiE+PVPfagULg+xX7Bt9b3i+1D9IjHIvc/xGkyNvB3vQ3WIqWag08OJxtgqlubvsQs25ztmVwNCd
JFlJeUuQ8hsqcHqjCE4ReLPRp1E0qLw3ZoaUj9jl+cpQ0ucEGDWR2dF6HhhPNQouwTRK0K9rr1Kt
rrAjitioyqQfQZZqUWlE2IHRZCuitAlNbEbq90jHUg+utBPI/9FKj9Ns4UyxJhLYlCE+ymB13Hkk
tSJQGByGDgI4JQru/E7JbqrBYP9QgoORlcYKwxksHgUhfcEWp9Cmm2JETqWsnnHWMDhjGMR6nx58
+bkjBsSwtqyLj7bExNgalM0U63QE6tDLS+bSJew5TZKXxIGyifGaLa2gK5ajlG3qlhFCpow7lF7P
SaSGr0Au1jKQZlQ9ISkazFW0plphk8F6o45XmWmmuAQVGG/zuK+s5vh50Qwk6w/PgwBt8Tjgm0LI
8evz4GtSgauNdhNm92fNabIljIH0ZEoVLdsmfCI+CQ0iGAnFHJd2hM6NFfXIXZmRO+IDU4Pm2KIB
G2b1aBT2g6bn4arJjGrVdTIkewN3SxARfA3Qlq5UoWcb4HDlEkI9rJNaoh5hIZKZ6C8io7oOsmhc
KGFTsBswhG0Ja81LUOzZ/FoX5rNDwuaiV5iP1pl6a6oTtTNdKq1VSGNtKjrdpNvVg/kQ2+aW7Jhv
pjUmHOpZBmD4mfl44zv0sZhYVYV2jeCRJwTA+qReM2E7JnF4TXb3VWY5a3NqH2wItwjEyJc1q45a
sOo9er0ELRkNLnNcibIPZByh5LPEMwHES3tUNOlBCXsCUFrgDQy0oGBII1yqgvyFei3L8daBWKzi
52M3QgOA98K2h71Vx9ySvmGbx6KXtjcAIE+OPW6bYnrWBvm10urn3DI9NJpHkF4MlJNzEY4HKzdX
A33R0IoQfeTWQnWiSzKak+1kz2jtJs9MfciDFDQQWTiX8DL2knOJ4fCNbr3vWpNMJm9MHg+5AWYT
LlUQ4YpiHswGC69GLLYtkpr0YF7QYC9hv4QHSSF6QRkw9LZEvIGBAZFBBMNKTaR9xi4eDsHGVtLH
vmxWFRkQzlYnUUBh10z9YQXVx8trmkkd/Kllmkhr9Lz7mRYhYculOyhwNBqZRXemzxIrNk1z+wJ8
8SbIMUkO1SG3DapeBuTntBzKzZRaOz1ABkqcBCR3lLdaGSmLgVTJsByOpMVf1ClZI2RaFoBrFv4A
UMGzcOIO9on+pkm+gb7xrf6+lIGSZfLRNDD8EZJ6wDGJh8P3/X2nIoxuDBQRVox1j+T2ZUndsCmm
tlmC99jUPVWIRYvWtWhIEy6hfLG1ffGmauL4+64Po4bOFDtl0p3QV7t9c4SKvxj7DL7QOamPCieW
z9cGDv6/7RTvVgYhJPv1emHO6YKVoSi+K9a3frwSUM/gYdA3n19IZND8diXIAbBuQTkyqPvQYRoa
UphiuR9Ps4LkvIxGRCO+emM0QbENC4lnbuz3zIVl0D+ycrQrTMDIhtCgx/CRB/7dBbbSN8CBl2Ou
IdfVujsmyOdCtq5J/3I59SzaRhUIZVivbbDK2ugpjwEmhWl5FXRAoY0wbNeZ0e0NplEUFt6kyMOC
Em/NHMC6d1TnupzTJZ2UXae120hT99gJtkbpnIck2Nds25aU7BMV5CkIGAiXZHor91lZe1Hqbwfm
7XE6kl5pZM9kjhuLdAgeq9Gp71VBsVVJnvrirv7ab6HgEtFS726qaOu9e1yA7eKfZrR/ssencH6Z
7N3nv9pX//6HjUOWUmpk/HinyL4uY+Tg2u3nF/itHvr1C5gfnj/kdozmkfyeDPUignLDbZLDafH5
RX5tbv68SzaWF/L34FF+ePRGqxkI4eBbIAknW7MdMmqS22i0vvg11F+f8R/tL8gTqHuELdOiMv31
55jiKCeevoT96iqvbGrLm3TlLyWvd6PFvZu791tz0R9erqJFeDd6z6k3vfBGN5uvGDk/pskfC8B3
r/WPD/ruuXD6CDEjYXundtUvYUp443W3zi5RZXgOqSkrZc19XimL2iWz2GMw1Xv6KX/9/LYbotv3
8VO8fzrF4vPuUzCngINbc98fxq3qYYdeOReWe4ayFS7X98biYC6ztXNCwbnBTLq5IfxiPW5Y99x5
XThus6R1tnSWIHk3+bo5h9jQIdDcFW53Yra6NrbOttgPm/o2W11//tEF2+7Tj/6hgpbUJkqxwvNc
upguVs33clXeKMtqAQhhGS4jDzrCrlhfvB68bkuGxLiId7Hr7HA1LNh8CMVzv/mLu88/1e/u2w9v
y4fdIYqKvrZMPlW4ddxwMW9QxdwgV0/I8HZNF/XPYnLTtX2qNuoTjTTv8+v/+WX93/fow2rDUiNN
TTmNJ3kuPGsY9sQMkx0jF19sSmJV+f25+d/rfFh17AiDUj+nBDGSdtAPr/K4GcyXScPVy/i2XH3+
rf78U//7ataHJUgiGUozqrhDmZRw8rsqg8v/vwt8OPPhJktNEz7/KTH2akwf0LGWn1/hix/GEi/i
uxdNyko7tyZetKI8NVmyKtWHGZfS5xf56j59WNwaJW3iHizZaRS/CjMtZ4wXn1/iq+/x4QHrirnp
8iabTkM/4mA/Zcm4mLOLzy/yxdNlfViVTD+QJppz7AYjDiMH+0PawvglTn6CNz6op57Euc8v+cfv
ZRC1pzBnAYP44ZI2JCX0Om130omuiRHnkFBprj+/xh9/nnfX+PDSpAFZEeC1x5MR6/TvL7Psi67C
Vxf4sCTOZNVrcVH1J5lFm2Z0gg3586/wY3/87MX/8BwTz26D1Oc55mxAAGqw6zeMXN15sasXoRec
ybv+YvApzKufrjXiW797dRT6f+hmQvaoBxrDOavqMeDa7vCsHOZt717M4CPZug2PtCvXvpTcq9YT
u/rFY3Wh7Ti1w0X3ptbdYIdbf/Xx/riRm9grfpYuH5+cqB5khMEIRc5iI5fcZp3q21xZuMlaX97n
7k52p/2b/MLhrL6d9oM7fLF6qWJ5+uxH+fC7I9cxwwoe6qld9st5iQBTJQxhny6vnJN50Nbd8lFd
+W5Ox3ZVr8s10u0vVuivPoL1Yd+D8yTp+VC2J2mPvQIahBt/M1YAkPbd93FDTPDBWktr6Q3+/AJF
+zlYxt8/fzR/HLw+uQvWh+ck6bWM0AYezXqFdsFV3EhUddtkcdNvx+2W7DN3PuHfvIcds8xW5dq6
wGGy7DxoXm749BUa4cfB7LfP87+vu7AUvX9ubYk0No7K3any9LVJyMVyXM2r+RDtFfc12PqrZGFv
CZpwi8O4sG49m+og99p1srqOAOql67+Lg/96vERi8z9rU49oU393eIm/+ffE3vqL6AuLppX6E6P8
U5nKMB/BBXZ3sHcYYQ32u58TextGPon3DLt1+2/OHkq6Nvy//0ezxMQeR4BKljDgvP+MmAf6+Jf3
m0ML0S6wlxV8ZiYKkI/FQzNDSemMjsGbls+HiihjFrzi/7F3HstxY2m3fZWOO0cFDnDgBneS3tL7
CYKkSHhvDoCn/xdULf2Sqqsr6t5pTRShAZnJTODgM3uv7YaVXGlD0E+z4JrByEJDP5iSPwhK/Dzq
WdOtuyjGZ9FaenrGIKVnBGgGvEbAYGfUJEPmTsbeGlwvqWnmpCwsFqqNu4B01kwr8R4EcnbqwqAr
yWCpscZ7PTRapH+YPZ1QK4KNY9UQIIf80dA7tkykDZL47cIh7wmonFm8dYT/twu0ZuN3LPRz41zn
Nii6jEJ91G/yEbuVEKzyCgwILEWOeeWfhBoeqGTnkXJBxHVJGlm5J3bGR7NV4ra044j0K4JN08Eh
nsQFa0uyJo3JMD0yN7wiqq7D1GziL2mYPA7kc4C9YN6ZuYc6H78YQzusoq5/agfLZKKdHrNIt1ZZ
MV4h7Ro3yu4x5XYeAJW+agFBT8MqabmHoepM69GqWUjqxhrOGeHjHcJ55fZfNDnAqiWgpZvZBZkv
vgxDWcDHY6aPg5jBKjBkkZ5i1yix5dYPnYXPJK7UiX1At+yj3lhPDEQ1qW8qp+PMTnzyagiz82u/
3EsEpRCCi4vYKG6qSi19pzyy50VshbSqdznznGrN4vZNjliyawabaCJxdSUr4Lnasi+DgyRuvS5x
mUO6I7atHeIF4N4EzLNDZJnZnjNtEsjNZgYXTDoRBI9dDjEI+060xf0drTQ7uBoc7KgSIZ2o2kPf
9chh9foxQGyBltA6jqO4bYNhbQ8pwaJwkpM8vgny/hRZZBqy7cJENEVr3xpTZBOIH+vED5f64F3p
zA3XbmV+FKlodqIsGkQJxYUl8nYbmtkmN5N7h8VzFlfs3KpLLQTo7XhoIWUKPRgkwSZOswciIdnY
Qs/WzWe9ZOpPpt22V+ntkFj7PAD+b/thxnoShNdIzcyFboSMthCnmB7xRaFSjzkCGpJb2sfBVw9C
NneyYXwe1ORXht5l3FhLjfU/8O83HAs53EalluR5lsQRCoCTBO6ZbXdLKmaCVUvg4x2DfdDIYFe1
1U1nT8+JG7xUFrk1QzTSmOJJYP0LS1rq3X0f6fZCJEATCzs8wC046I73mk8u44CgYkZSiFvmPpuo
lndE+aFVKK6UHs36F/MW66m7ckM9Q62qkaoqz5FTakszYYEZpY9sbPJtLsbXLJiGXTIGxK3VFKSh
6y1zLclXZpYWzKHz5zhH0g2RG8/fAATd00eXbY2+DfSpPkU2vj5FRp9vpHI96/NR75CC2IyXQsiP
OiWlpqiri9Jx7kkzDw/o9lKiBIcPjP83MQvrhQ2EnUk7oa7NNH4qstcXfY/33Q8MuTRcx5257nD4
HBZaftrdgpvi0gEtukiEVnABROOyGgtrKYtwh+L31Q5bnqB2nq8H2zt3VnUWmsT2M5h45lLqr4QG
wmqdDZibz1rJI0nBO3T1z7lDGhJFFImFzKPLQRx19J8bd9DgsHf2jSQcah+0bASneI76MeKzgNc3
4oIZ2/joeMZ1DIM9S+N92Fa3flh9IttpVrmqT2PhX87b89KFAWCOKD30MLChWXLu1VHBnZuSgVR0
ahsnxWNeIL51FAGJpHvi+YJgrWAXLqNePXgNuICuIIGyz0t+eZQQyd2a3I7DJmHPAyHOLGj6DCiO
I/439aFqENmOhUYxJ/A2JPh2mBNwBVG4qSIT1++Lh3oWdZvE5RpYpMI5P5c1PWHEROrqTfHuEbE7
1fpnL7gYSsJ3yzmFF/CTubLmZF4xZ/RWmXPVk/wZmHBUtEBpAE37C7ZAN/ypwBvDSxjtcmPJmYHV
a4ACUufkoMvDJKnvuzkpuGNIupdzeHDpP4UO4LyaWOFMkYuE1Bqs05w53CT9PZugaclCiWUXADfv
37Tnf6qkmfb751XSPh//Q5U0/8z3KsmCK4yXHb/Nt3rne5VELeTpyOqg7tJBe9RW36qkuRQiHo+i
AoOP584W+W9VkkWCns2+E3M9eCJY5X/Hv0NZ9UuVZOuehzDWdHHwEPhj/tKImSwREP44LTMJGwxr
kUYoiDPp4nc0+olA0cgL/cmGNtjrITOFPlFri85SgFgwxpw1wxiZ6bFyo2q8ZBXG3h5XObkz6HsG
No+LzEpDc0tERDbHtso0IgNL82OYk5rvFTl3id3JK6frvDpfOXrZy+NgWaphk8qGrXmFDFpTq7Ww
XxoQsb9fvKIPMVo0pXcOKz1Es1bbi0opeV8V2DPZ9AJ4AWy7kEmcrUSl+iPJT+OGSHpWHWnS3RA7
pt703LJKCEJh8NbLeuAU1rP5hC7wkBb+RaxhvIAmExKdLqCJu8ocr4Vj+HvCb9UZj4C6EMAzUCOW
n4Vy2asOhlG/ulGEMKiVRgci1YLEYsXtHTQ8UlrD3Hp3p9Tb9mGqTgGVmA/4A7OwNG/cSU/Xw5xP
n3b6INlcAoO0UIKDE9LpzwAtcV7FDU5TUSIebyAMLUxBdOHUt7sK8T+Srtmi4EELfjGncroKJw7e
RWJ0xlsiG+vYYfXej2CDn0yrMZENGYSTMFBfTW7WXXZd8s5Hmu+plcWtaCIdop8Ofl+qyFsgUgsv
UF+gIB+t6MKKmmbreWmN48lzL7BFWCgfqXm8kVjC0AzGd8JZ0xPEkeahy4pu0yBlh2UVGYhJRYol
OsQEM+Kf5UKp7GuREP8a8Wi/MiMogC3j1yME+/6I7P2As5j6EZvoprLG4VPJMN25ZRYchiKSvLfY
0c6Rb+tEnjQkhxQj+e3shJHOjW6+LQMy3SUop8WAmnZgNev5h7TW7AdYKY+grIyTobnlJW/f32gJ
uRhNYRDtXNf6JQ8rUiKIs9sHEbvvAkDSGWnteBPWrlr1jaJ2jLphTUPhb5qqaYLV1wPln5NVZ+Dy
5yfrNv3I8z82oPMPfTtaQYwQcIYgHFEQEWo/IUaM39hVgXQDpoNOaF6DfDtaQcXpeBa/Y99+OFo9
0n8Mfhf/sIr920crv+mHARMN6Oza1FGGQRlBFcVJ/dMoIx8bB7KG6+Hlr5FzWmIqt/XX7EhTg9nK
2jZr/BcwSvW1+TVpMptDJycW1XbsnercS8ilTt4S2EcjZIPeYPk7Sqq2BaTEAau9Oe3zAf1j13vX
ias+U3Iul2Q9krtt4Kc2CGsBOmBVWz1gfJUTZF1qOy1K35CDm0gBilMQq+vEmBN12hoEtb2jkd7p
MexwE0lm5LGmphfeshm8MIhaj+hWSZKx0g0au90o+nqRa+ItzsQCHyP8TNd5KqWzhxL7TvDymeTP
FFEWKZrPHhqRFoP1Ag7ZB0j5VQKQDbUaRAPyDqtLaJgbQkbypdELin1oIElKflmrE+FoavW6zJx8
D4SfvzZHn9QUdKxNf3YnAWAjZmxbJ7JeG3APQmlsY7MLNnWCVlTUgbOOlXh1E9JMqIRWlUQ0K4ru
ORv8ly6Ob8O8uMTwjho4861N1tBm5nq+V5HjLLyIQ1iQ17LSFSl6ReYWWzTDJvKPLFvankcgy3id
Wcm+CRCLkM/4Zcx6F+vWbK4qfHhvbH85DV/JjqW7FOKzNbSDgCmDoeCEpj8hnxyUbN842MlUp05F
DYB7lBqyULvFEZZ+ZFqunvg+j631MmX2WfJ86dP0Kq1iPFD+rWridgkGJW7QqczubM0AG76m0sW1
Xf5u4UbTjp97AKW6Txvon0sL32bkuoTcEEvrnQ3iLA9OUvRbA+oEgIq41NdSj8pt6LveLT11x4YV
5AyEiWKyd701ym1ZWzLF0oMfV4xFCEowr6E+g+V/dAscZtpEMOo/x+FXJ808wf/z4xAnzb9OXdT8
6/ItIg73jwfj/OPfDkbGbxhVcDx5hu7+Xj1+qzm/Ypmo9MAoUe4Zs83m28FIYenxM9+jLH44GIm5
oIDl3KRKZWSPzu7veMZ/PRZdD/AO3nSD3wfe/pe9ZI1RvDGZpl0GKbh84xjJvxL/yK/yip+nyJjR
+UVErwkH+Oa8Hflh+5EBufPKlI1ukDj7POywbBpGXG+cbDgP5mDDU+d43k4zbJEuE4e5gO58axA7
XjAK9OyzUzseYvnAr85drbnVMutMuzrbtqYP6PY6hHs6SQ7TulH6uiiVjigcmsO6Zgy1HYaKRqyg
O1YoN7Z1KKs1PhtCg+xSX+S9fRU7ebAFXq+vOhKrgEIEqbEOSD3StnmmpuIWoHT4STRbvzFF5AOk
cxtdw1EwSoMaK+V/a1FKAhZCmenmLazHBBF8NVTX7cC7iCqG5vgSEO+FT2YpMDCGTEFSDceER5JR
X217xz6pzkbr3WoXxGQ+WIl5R2jVbZ1MJ+ZOD7aFCdy1YWpgFjlVtVwHsjqFIdEXQZDsRY1hIRjs
o0I+6+p4jfsAxkcE/l+HSzIh0K8tbC1xPAIucojH5JjHzhDvvDw8dQO7HRsidliSZCZ9lOluKj7C
tIC673nrsQD/3Xow4gLJCKsdBszrpj8dq7E89r62HbJk1zI23BLRW8MnIZpswm6sojMiPnPtAxdE
1ldup6ne+5g1Q+aI2xir4ipAX1hPDEgDcIx5MxARFOJJqNtjaEKo0Ubdfh/7BARUjZgPb+FmKLlU
BwGcRVKya8BUst7fD2WFbZ/oO/jFc5qIu8RMwVQviK1bS46ASgfZ7ZocXXzue8Yq88He6WN7ruxe
WwZeve+TYdwWqf4h7e4LCAGX7t3OjqaXEcgZJlZ0XeYuDcwgI6JUGKSxidUOHmSdLd76d3zbpJdr
F/gO7ttQ26ahb2O5rCG8uMvOZNGXudd9ngNMN1ZMWtYIzUhUUwSppcbWZZSxqkw+eCufuS79o5jg
AJSIix3Pe5ns/lzokJkiYtKsVL+a+KW9yM/ZDByVgtGy9mo04kPThn0hp5PpQ8NxHnioFu50cDLY
nRYcm9qx7quJdWI/vPUdA+fWbY8yS7B2jVeBH4sl2TJoPBLvmXDtZ9PDT14rcQIbSGi2vCR4FONd
uAynDgLBVG0YoN+hi7+XKN+GIIFSGgZXsme+zcB/jo6JjgS57i14LIupFw+lFt7hVL/XSnS5udo4
QflpOMOh8rTDMMC+aWL7UMXeNrXTbuE6DRmIotvLTrY3UsXMEYdZWPdidhoCbjONFl4B6cIwy/gi
k0OyQxxtPNP/OU+NW0CMGMbRv89mL85Az7oYBkCzktk2YJg2XFW/u3da3L4tvEuSX/SVml0+fUlb
RQY7XKT0qw2oK2dLUPDVHlTNTiF39gxB6gxWIdNcrcFP1GMs8sMSqM/sNWqlR4p6iHS7n51INEww
RQ3rptV1ZN2zXynocS4B3D72BQTV2dMUq6LEfYTPKcHwZON74ptfVZ02rZzZE+WaqX32Z5/UMLFZ
ANT2JoOYihEULbecx3dk3VFgYmSLR0g2WK+oByfGYZix2uKtw5wVY9JyYwO5PLYt3+ZbxsbF9J65
fYyzpf0EvXtJ9FAMZCPE8qbSZyPuNiGWsAJzOABdRtWimuWilKZtk7uLeM58xVI2ksYYYzGLK+ML
HIthW2I+i/P+GT7vFs5kCQure2lauSmxq1WJAs3qPApsbFaXP1qzrw29x+2Qjqccw1tbiTlGJX4M
wnEfYYnrh+HcY5EjKQVGVGrftJjnLEx0BFlcFLFcupjrFCY7oXATO1O/6SXo1wEjHt/GOseYR29M
QCxWPTl79obZvddi40PPGa7D2dkX4zYTs9evmV1/Qe7cVX10aE0GmDThpFaGx2p2CmpRfhXN3sEi
Dh6t2U1o6vXOwl7IcUMc5XA2Z99hFjonFyMiXP6DaK1nrwSeglGxdBPwoe6OBpfpAU7GzEheNZeM
YhXtunRSDE38V8A/Bz7rVTS7IZGOQvcdr5vZJxnLhgAfbVdb9ouPkbJnESHb/tYn5AB6zbRpZs9l
FoVXOiZMf3ZjjtgydRmzM8GoCdYalkh1hzBpWiVYOfvZ0+nO7k6sN2wNjBOu+hfbL5gj4wM1Zkco
RBGBaRKXKCmoqGFn52iChTRnHLzRdPeS+PUCw3lVHZvZcdrO3lPLtt+j2Y1azb5UVdpcL7NXddQZ
nZuzf3WYnazGV1OrIoAKHaX/+UN9dvV7sfGvvMuuCAdqm//7f/6ojfndqkIVwgRP2L9oPkRikQia
+9pFHN/byUPivUnrL6Qxf/UScwP6Q5UzchXbScdL6PNuxrnsyssh/gtV0SxN+rmSmv8MYsyoDU0b
3tDPrwEYb4TPEwWXOh4Y17nEZjcMd3j7/vunNYstfn0ZMEWGNEybha3+yxgyKOLRdJIeKQyDngqZ
f2NwH1b3jAZVL0BP11BjfxcB/zNZmc3lf95K7LrsrUi/tH/sIeaf+9ZDGPjndbZC5Mh+BbEyvPje
Q8jfGKsIi3h4UwqorN97CCmYW7N3n9Vg8KCEwRX777k1OfeU+3y182+dd/Pe3+khfr7yERZQ3Lse
txVKcebgv2Z1tt2oIIVb6gqHZxAv4/GmaP7i5vo9n/mHa5IEAPARjIqYtuM44+/9+dIXUJNBvzTl
lalIMW7YWjbkloamkROxMm+6VqTsDsn1VES2exHCRHxi2GAk165ujUs2iYNxMOyS1KRiX+F2iXw2
eWADp0iMi24yl+OYXvmWtkoLKDeNt9Oq4rbViXAdQ7GeKudmiJqdP/LcC3F65BFGIXZBB/LcLzU3
eUtHjm/fX3VluY8hU9HMiOUUhZdB26xdI907IY5NMdSfdTcDTiNFGh2o06iS3VJjpb5oLbWr+jJh
BRvfO+6uMhuqsfwpsPW9TuQN4+XyUA35R9p4ULtQG+C/+/B5GOA0KTHl6LgCqqbelGlHWJOjVm5e
g5pWMEBKR3+b6wcTLcRKyPyuF8HBN4z7emBQYETtY5KxVwxH9d7Y8jDKOoedUp7zcFC4ox0WZZFv
Lf2ivq0jWLaOLNp1MJpnqKY8WxvzOlVewLise9JiczMpZ1gzCsxwQ7afsYNowI0M2F9VcZUX8ugo
+pdS8uxNkyre2TquuLJlQDTEXb6OSoMxdA8gUZbTo8iKvTkjLqH23liQ+3hSpncqA5HoucmzRiu0
MFS590QbX6StEksA+wdG28glRIVR2Q2Y7b+jKtx4nQ3NVhlLQF8NfVv+6E+9XPoVPUQRiEPtdvWq
7Z0tHvR3zCPo3Mb62Dny3SVFiKIp+nQzB0QYGxlsWd4d6QmfMqItAW3KtFwtRYNTyCBBTgzusgiy
q95o3kQcE204W4sJ3N5jT8xWEnpa5M7RCyY5urJp1VpqOk7kvLtiDH5PRGCz1NJ2H5phjd8rvAVy
WK0KtMrL3AcML7EV9QzTpnnQ47nxrWH2S2DrM+unf0z0ySaw1/6Em/hiMcwnTZrkX3NIfEy6YXJm
/1PDbYrKJefKfTBWt7m0ykOYAKFIHbL6ihA6KACoPk5n11vVrV3F5+E4LP1tnxRoRoF9nH9IoexN
X+v3SZDeN1FuLAbQV0DjkWE42meruc+aO0ILT8IlIkh8W4MPxn7tTHZhrFtzTPbl1/xgJWsM5CWf
hjd5orqzAoUv0MY2B4MruU9009tbE09U21R3VWUwzio/MqIzoqQk1LIov4i2qlqwmcGaroZ4bdUe
qWDiR9rEVWr76bKxH3JwQtsxHONTRqEdadpN3cXePLSkEFz5WV2sehxkmgO1tPYQvjQpVeLE9RuY
IEoLk3WDBU+3RgjoNMuSexPaMHrownkKXesj0odqwbFW4ewVmwwHXh+S2uTK1zlGkjy0A86g5wDJ
0nzm3NS5WMeluCmEuVfE2Y0j8GkteKAHe25ca4VJ6egpGirHvRozIKpNu5kw1/ne+KXr57bUiVcJ
LJF15mvLpELQ1NSEtLnWpi77C8cp1nUFQ80kOCOMLLUoPEyKsatR+2vwluqHLPKStW80H01LF1UN
j1rzYXVcib3tbEwZO9nSzxXuVNDCzMPjbtS0td6PzoMT9MO2qmpjGQeDQbddtuVFYppPWSG1W7I1
106fB/oyjTm3FkkhS9pBazK37VjUyFwY8bpm9gCheVO36kmp9KGptGciMsxrvbOmKx541aZOq9fK
EPuwNr8MvntZTUiqU5ZkeebC3QB6sgJHiBo0TqNNNmXenczc8Rxk4W0UBG+xgbJLJbRf9TQ6zK2J
0PNzfVwC+HvODb5FFd7heIhhZIMa75unThTTrasx5fDnKPCS97cAQBAz50k4AzothdDZldOl1rra
nR2b5JCOgKQZF1k5d3nz6HtNt5Ktk+24m91VlbYrafdAA0Srtr5RF0sTjdZWUTQzOAYHHrRoB7SU
nZ1KPTELBK6spL1p6LMrBlYoaph1a/57VFCHT7a4Y2r/VIvhNrBqe+/J7qmYy258lf7FD7XIfyib
50Lvl4cuo0HolTZrE8ea9z0/1rS04CXBtVV3VbhqbYvL2L2zedcWiwc8b//9tX6uIihT5qURgU10
F+yQxK/a16YBCQ1GUl1BIfaTh2rEHP7w//cS81v4oURXKVhi1aXqCkwmcBeHMciLLG//H17EY2fl
UFuxtP3lRZowSdCyKXVl1ncVuljtQuv3//0l/vi1zJPh/32JuU344e9ou8INQOuoK+neZtVmyto1
VUjuvMbjX7zSPJr9+QL4+ZXmd/LDKyGAsujj+WMqdHEit+FWHroMzOS6zw4TEun//of90t98vQY8
ojelyTzcY0D388u1QQwhpxWKZcqTmP2v9l0QHsfs6evL/NNrzPmMf95rHD/q/7DEnX/mW58x524z
A0d257j/FsF87zP034THendGb9lsBGhBftxVzMU/vhPuYGeu/7/pYyT6GBYMumNZmCIBf/2dPuOr
SPh/r0Z2uB7nEBl5rmHrDpO2WT7zw9XoiDLQRThBGGgY5SWE7IDRhIhERrH0tk7vvpKWoDZVacFe
HadYaoescbvRWzmRET9Hhuj8y9AvumrP1o5Iwhiuib4m9KdzrkpKKnWFAeCiRGZ4p1E3Y38zJ4fk
lqm5dtMwfjEZi12P+ci2AMO+WAecu8CB8lmoY8gp3LRfNQfVjJ3YS1/LyPARrZM2zwC7Yh69AwEx
w7QywfNHzcbIh0gcsq8rhmCCdEs34MeURfMWwiNzdRXNm4mhb+1VPW8stGSs1qryxRaOn1irebOh
J3b9MPVhh0bVG+1pbX7dh4yGNw3r9OuepHR8jQ2kLLVmr5eTfe7GJixWpVHYtxFMSNKnnJLdy7yF
IZEwaW+x3ZBUZcsyvRxQZBvbiryA9Rg0xdOkpAfdkBSfGOR4WDj7KhWmvv7nFv26WZzl939+iz53
b69/HAXMP/PtFmVnyLpQsktDeYZ4nyPy+y0qfuPOpBBGpzbfiD/colgATA8FBIqB+eb98RZ1f+MG
NQWcP7BNs0rj79yiTBZ+emJwj5IH4whbSocFJpieX55NaVsDcyoG/bKNiyciEKytjWTgaEDpok8R
5bUF22WmnXoXdCPE/BYAFtpGHub6idEh9TMiIutUk52xkG4CBkvZCJ9Re7pDea4nbVn2Oqx49130
iQ5WVu1MyNGryVZ7z3c3CIX1VckqqmugsOcooNCiynuV1zsZhfkdmendMijLd5tCv+jK+1rIcikh
MCzsoHpPR3SrRUNMEhK23VAOA3P1IsyvkTsQsyzllWbaR99W3rpVOtp2pWG+Zv3GWq26Gv321emC
dz9zmW2PuU6TXFZ7N6fHqArtpk3d9MqDIEgGTOgtQL3MIXM0XH5kyyUpBxBS/JGoDeQTtWd+aSL7
ml3ZhdsSmM2d+RQZ5l1beOVKi42PMiHGBMvAfd3TNVfNvrO1cJFNYgeq9IuuJzloEGTF3nCd6/HM
MHrO8uCIRuyORHqHBQ4rptrQ70onRs/Kl9CGJB6maESwsFuvIwnIgG2bJ1exK8LKIBaVhRZW6lez
kgLQXnQdeUwEtQy0z2EcmbOPefmp1yVSiPzCnaJjPxbB3owb9OIe54WlY2Gqs2bp2OkiJjKFwGfO
7wk0eaVpHXZ2hJj1wmvTJtm5RZ2to7xxLz2jHLdpTpZ9b7PxzNFIBE39YVS9vvAmJ7jWugS9b2Sh
9e2Ti2o0PtPCGoHl24W+CmPDu0jDGtd0DvzHT9iqgU9INnlKKl+QFJdhVpdLPXUvlVaQY0K6Jdyk
AnahNBeNKA5dbVyU8M/o1ycQ2ZFEtNKhexYWyJGBGUIvuhe7DB+SBBdEjTqjmsN7J+Qbiybgw01z
wmngcD84EUR0v3jDB7LtKIUPMteuhVt+yhAwFzG8XcXoIOdQX+ptbe5t8rNLOzsMrQU5xbwcRXIp
zW5gfOHNW9z4UVf+vZVpzQ5RCWBCzbmv2wC6mjBOfmlAZnI7NlsVyvRO12+ysT3o5EJWSXwT0Svb
XfoMqPDN8mhMRCJAkDT9hVsn3aq2FYwePT9bLh+uxdMUmTc+MJ0ous4jEB3ON7nZ4t2FjUis/fhY
mjB6eoGNvcGaUbQTcDNAYok/kY6c6xcqVW8hnzWTt9In2iOqFoVRPpl5efaA89ouMWmhSW6F4b+3
OtvBmnGblhJ2joemWCZxB5ksqYgDAnuXj9aXdmaeVwayGTc+VT7NaIRKawmsEs5T8+LG1ZG5/71I
pgcBJY/3xxpSWgtPeed6IFOeN7wKpp4hFwhxF+Q1fbl+03jmy9h65WWAtnEZDdpw4NGr7YuM3KK8
j059Ut3KTvsIy+TGtXMLbRh950KafrP3HX7LVIdIMB25Bo7ZEWilpQTmoLDXcSm5prSBQzXTQiuc
ZIlpG3uli8AKYxMZTTNVWrF490NGL0MwXMdoNxa+pSNWFf82Q/9TCs99158/ZzHUtR/1x/jHZ+38
c9+ftfpvUO55nHoeXclMrf3xWQvo1qTHs20GER66mW/lsM0DlTH111y0GXH8rRa2qIVR7szObAjI
mOv+zoPW+YV7MRfDyInt+dltMi2nZ/65GM5KZNGjcO2LzGTPST0qV1Bqnh03WBdO92i09n0yXZNg
ujUqsTYq97prg3s/nZIl2x3yzWSyqvLxbJ+Isnw3VXKfwe+DSzMj2Ov8zW6JGx1VsCdrkmgixOW4
kDaWqP1lSM7Z0tDFi5b35ZtoUV2YfqrWOGL8zUR4qIpQL/pBfcgVyaixGT5mVnHKR+950lronW69
VFH1OsbJtRear7UtnoaedCZWxue2j4vliOxtVVbxsUPbs7C4RR5H3X0hyyk65iXMKKF4EOllfM9s
5wWW4bSXGYbURis2tktKZmW89E12Qe7acrQdMsq2CYCfCrEA+mR134XRsxtpO6UXj02tBQfHKFde
I5dZ3iMjx16LdX8YowvZTfhz5odGFH4pypZxfl4tKltdeJHiiIuMveTQYvBIgA7YzNs58NzZlG3y
zBOgWvAWt03DNLaFY5pK0gRaizieJDbce1/6C+LWmh1JWzNLCjadr52AOCj4/IyZ/ahbqyK+KRsQ
WnoxbaQdYoFL013FSqnWQrVqjaZchLW+re2JuUzfXY2uh2YUJ5Puw4oMc/OjjSJ54NnJd88M1Aom
IhXqN30aI8LB7BOAS+qdGOS/72EWcE5MKaFheRdZKVd2bGFqZFyqgnBasFp2LFJyWznYq1S3+kUe
MuqkPhqWtqIOSBN0PqnTQF2KCLmgFONii+Dst9lE2eO8WqW2B/PVbrrGIBoDdYVhjNfKAd7pzGl6
lfk+zuwtskhvcoG9MuSb00rznqpxUTG0XuuO7Z4qGPapW5zLmAl1NjyETfNWVkjAhRrnStDGWUVv
h2YID1sSt2zHWya7VfLYRTUiBBe7UBRm13CeTabmwy4TbbFhmw06dLQV08q9iRB3GTvkY2XFsSjL
S4nMJLF15Lepvsyw3pU95ciYmmg08hfYzkcGF+diwsQ6tfnBb9oTLLq9kZEVkbKgB1r3FqP498Jg
a0ueQ7bb3Kkmui077T4q7L2ez3WG/Chse5/owaWm5y95k7KvJrYXQcBJmvXR7Ipz1ycEcSbDdZr1
28GPTrKzV/mkdqVXIATDowSgvgrCQyB1OMCjeSxTdVSNfqWHErUwUGU/aJ+Uw7agkRMOvPaSLOcM
gYBzqD3jxorKYxKRs5agiRnTrNvjECFtoD4HpXOZl/17E43kFQbGbVM0j7injv4Qn7sQeFww3uQg
X9EJh49JGm5sFT2i+9taQbHL7Mjdj1ZOcgc5AZHTIpHw5vAQ81rGwR5D8nWm9UjB9GoZdsg9PP1J
HxTLIz0lYsLobpA7I0vo8bA5wNnyKXvqWnPndNi6xnZFa42P183PqGReJtfbKo0sWA9HX9Q/5zXy
L0v/nIiVW0QRNtXGf4pQnjM0n7Q8u2ELhjbORY21cQuLs28wzYMmWYHXdnokQOQkEesNbQceRnhH
VoyXsk+PfjCi2ymCsyKrbx15+VtPSuuClDNYlt62KryLmswr8sWGTVbpAuqweIhEdxqEfDQT7QLy
wu00f4Wma72VYuBuDNamoY4i0B4Hvb9kZHqhI61CgcM8f1SvhoZjNiqDiPsEs2bLd1ELa5N3cDAr
N3spTfM8ejil26jeJUW8JRhIrRpbPDi4MioCE9ANrqxGu+4jWywNecdeaY2Y5Q3xzu1ktcEpt6py
rweAarL8rM25AH4FXnyyXgjf2mK7odZR1i5ubblW9WDsEvaRhhF8JJgJUR4X+nFEFCRw6GyEgIyp
A/F1KiCeXBTl0hiwgdqBvmuy7qlR0W2FK3zsgju/bna5hgt6UO4DvNotf/NdMKaPbRXCQJBXFNgr
CG9LI7YJmwNrbcniUrXBXaRPzcq1+52WTgTaufu6sa//h73z6I7bWKPtf3lzaAGFUKjBm3TuZmgG
kRI1wSIpspBz/vVvQ76yZVnXd/mNPbQphu4GCl84Z585tQ61Vrw11plNIeQN8pD7TtwnS1a1SSMB
OZIwwd4aKA69qwaIjrdNGzKxt91QRY9uFrUc/p68EDk6yowybReCE82qWeLZ7rk7sbOT9bLyal7S
NJUHvIV7qXMFK5bgj6ylNyMjo1qJnn2n7vtx1SMKICxv63h5vOMJ42LjtaHpAlseEYkR9H0gFx3v
15LFWPSqP0F8o4E0pve8bo4ud/EqIYp7bcd0kl5E7ISbpp96NK6Yu716I0M/38G+lMYqiz3MCZm+
HKy2POeV1X6OyXELaf5qY8lZcW+bIZ9x1czQSgdSWKFMZI7FRBlK3WwZl4Ndn/oyuhE+MTljvCW6
9zGrgjsNyLqrUIZIQrpF6oNitKrPweDGa6mHbW2xPkFTue/Acm7ttn3p444Ow39yAvuqHyYeMjC2
oWGC2l/BKf0IYHja+DJ85mR9NO36EAzh2XRJwYntC+DxlO1htOVCYi1n2J/L2b2QUXYVRKm99kgJ
YlW5M8oMNzeP6Hpi9+LVhJ7iiU+T4q5tkmiFEPLI0u7SHaODVc8rnZRH0OpgZs2EYRupH2x0btWQ
3bdsAJHlTZsszz/m6ZDjYk8u8CcfTdO4YlK6phTai7E6tgGg9QTfm6wudNl+8hz7Is3ZJts8aW2f
SJzyFQ/1Nk707RhQKUxuuZ2DcFtjnHar9o2grEsiYdYNF93ImrBT6atnk+3SYP8qzOiOqNmtJyLQ
8aAQ7Mw7EIBy3yTIh9vcMMi5IfFV6i1Gj13Q640KMHN0qtm1sXXIOvG59x3WcNa4c0kotYkMobRg
zJKnFad78pkImjXCRr0aarFVSUcPpNOjUcaPSgV7259vzB72YdJaH6fB2tlx+anA24jJmihyo4++
BnXRs7ofum0b2teDa14H2v4ymmRGRXEJllXuYxUdVWSqndYBbpL5rZzc67ZEBsb53l56gotFF4ML
hAAYQjiV1jaYPP9c0HznDtbz1Pc2YWvepo5xmbbjTHSnvWsao6YzCq1VjVvwQHbmkzvE073ipMHT
MqKO8ruNMRSfRga3peE9ITwPdmVUfTZ7yhfT63ZJ0xOv1PCq/cA6EJ+Ie4aUIgC+4UHXRMq7ZXJV
0vImjGfO4Ocv8GhWG+FBgKzq7L23gExWE6mYDv8FH2tj9dBno5HY0Tk7DlIgVG27y7lentqu83m0
uNFiE+FoPSq8kZNzbSXRdTIka5jgIUKRubksg5oN/mgDdUz1aSC0XTXpEw4Q57Dc7h7pLCsiE9Nd
Uvf2kx+293np3IKciC6VnWNXLI+6ND8KTUVTuMSMDx2e94J40OSy0uYeUQOJxG723vmkv5KFge/Z
/4hE9BRhBk8gR/Qp4V2NaD9PVnWnxioHnyuvY0tfZzLeEYE4XeRj/Fil6skZMUxyDl+4dpxvO+3B
b22dJ7axR7WonGMzwq7f84ONyiKsK2o3JVlDh5gIXagDi1hefxPOj1YsaCNqdPtkpX9T1ye2Z2zF
b6r7Hzq+Xyw3acV+3G0hVkK97EEK5RmvmJv+1ECJyDTxIeTROcbAmedXzTyulPM/toE/bbT+80s8
y2FWuwxZWbb8uLJIgrG22SNH8NaPRn5lMp9bAiWGj3//WuhE//pa5IJBxOgmTf+nqWvAyJguwKRw
F+9D8WDY/xjRqZADWsSEmzSboKr//DIaFgsFWdrpOR+40A5+wBT79+77F5/FL/5+iYmad4g3ykWw
9uefr+XC8nCr7OzTd5ATrf4HVuynPeZvH8MP789Pf7/jJRakF94fJ9sb2TqxdjXZKaBZ3tJ48/cv
5Re/CvishyqO3BEI9T99FKkPWgLPSHIGGtyhjTJX0MO1s+YxDH/273/X8mf/sRBbmKN//liWS/yH
hZhpRRnGkTQ9l/YaVAPR3dxai7S23/39L/rVi/rx8//pReUyVkXn//aLAKjkmKvDHc+R5VFc/o9r
7Rf3Jft/i3k6T0db/IwVtd1cFDx483Nj74L0uR+3bvD69y/nV5fbD7/i58ttblxqJdfMz7n/HAdP
jvH/cTkrix0IS1GB6fWnu574Y7d18P2dY05AWB/p9M8hhixLcFxDJPim0mXX8+MnnxtsFFrPKs6z
fB7kdbfAgdr/cXb96kPnImZ3S2ypYy0zrh9/hwqzMgf9nZ1rCr9p7SNfdG9xmRZQlez/cSX/4nfh
zsXibi2bZ+ZPf/5d2BoZssVufg6XnnobMcietrICv7IXd98+/H9HnhaX+e+H7uaZsK+3vKVpvX7O
3v7v/7mIct38dd65fNP3eec3q6LjUrxanviNgfH7btH8AGmY6w18xrfZ5Q/jTsiBQP9ZRwI9Zkr6
08STSehyCxD9xkLyHzgVv+VJ/HHYfRt42kxQ8Uo6HuWv89MlYgV2OyWlJNx5Nuz6QagwzXK2ABmL
qNDomEfgPI6uGj+hN0ALjNN6SG9Ng6PRtNNsU0f4DNatNPFlTb7XVMesqEENyt5esh8advUYMU6D
nQ4hGr5iTm6LLPlUDtmdZ4VfxoFEKDav15NH1+jkLtphOdLRVeELpHiP1NxcUHihzZ1MY82cYI9o
l/G+oCQc7OY+tILPAB0Iuy7MeJ4AWmV6fKQRJWMo6uZ979ZJWWxCfqq3Lrqpza8cY/IOEwPVaJms
Qq0ctuYybQ2WuSvxGF/0MoltvSxYW2WO5QMtKlCyQxUbB2IV29XIIJdOKgZqwWx3drKHiGGvuOLG
vioYAI/LJFgtM+EgDT5aDIkzMgoUQ+N4vrUYIQ998wmP09bJa3Zu/96Iv+34eaT99xvxiWvnr/fh
gqr/fh+y43ep2OAlMN5nbc+V/vt9KD7AmjER3TOqIYKac//73oFFPsopSo5lnb+UgX/ciD43r216
2HBBLQhACP/kRhTfqsk/3YkLScGx2T7YEl2g+unh09ZDnKciJsOqDYgk9duNDOqPrcjCdSyYw81W
XnyMeis9izbL7psuIAnPtIhanQNrbdFqaVUEsPUc+3oJDNy2KZGTk4zfbOxu65bn3kVY9S+qG8qP
xcRmMKnS8UZpXa5Z58m16oICmFl/VZvc922uNn0UFme88zBVh1zfkcSa7ztOK1AggbVpLOuBtXh6
SOl16UXtfel2R3vyUXB3sDYdLJkEJFE+R6AcHE8RX+cNEACYQc0ieqicobgK2efv2hmeHoQxgDi8
BefI8oMdja5iJF8scaGCSX+mssNQSrUB3qcOBLkQbaHl56KBaOeUMaKELrvsqmmfKBKmCYJYtUW3
VgWDEzdkc94520Rqcyt0f0pqA3eg/8i7eVVAF+QpT1JG4XXZKk/CL27vMLhX4wpRxSfNfLt283Rb
hhrilI7uW4dlIuGr3srOLbn2tD4kMzYvw8vebI1yfMy9k1fTxrdz3q2UG5PeYbh6FwYD1mh3hp9G
B6y88h4B6rWTTi/s9A8sewiMK+2vwdTcGA1UvAR2wapulxULSRj2TF87B/O1W/CRtiWN8jTcJJn9
Iuz60zwkr0ZAhFIRhiea9LM3BCEyAKsFYoizwxjEEe8AwQbd2GwGrc4IBdu1yJyDxyakGDPSomEd
r1wrfCr1fOs4zkVcMQ82mP/CFUtIvAmWlYRfJf7ZnszYfkEX405HyRBoK0N9YWBxZiwGj2KDYZng
aem+GRBwos7HMWBMJNoGGCSpSK7MPj31MaAz6eLBQKt+aUMjW6U95uIAORpMDz/aT26CI5SEkcaY
xV3tuv2692siHHTyWonSwUUSTdsomxhlxGqHNgPTJiupVR41wRHiOSBilyzlgRt8TQTSwdblXZrn
I1e2cxx9GGGLQf1jHhIrFTjOwSrycVWzyyLqxMs2IhjWs2OCwJyCt2kSh8jw3WPiuh/rNvgiyGlc
ywTMiFTXKNjTIz5RhphDZ65k6h0Nv3bOEmH2irlsuy6tCJt17dz3CVv3oHUvmXuVa8UCb20a7qlO
u+gEY+KiclLrWBURn1ILkML+3FjB2Rj0buAhtoNUtG8roBprldX7hoc3ogpsFFX6EqYuQ/aSW53b
pCzlyBvL3DpsTrAwy2NiQD8kstY6hwMxtUFnhHfABTWjIFwhnR9c9xX0vFh5WzEp9it5z3Xe45AP
yvF2sgCuTVVJbuQ0E28oRHAwq5aRQlM4+0kHamMSSnQsq/xCh8QrT7qzT42nZ5zHlrF3CuK6iqq8
9QxV7+ZkOhmm/lwamX0jYkKFOP2So4FKaR0m5cmwh7UeNTT+uHyqZKzfm5zkzZDb+FbG8RvJIq1A
1mK39W8187+F7ILs/u/Pz8vn5O2vz8/le35/fooPy04cGtHSvpgL1vj356f9gQU8BSmIWnb3Dl/6
/vxUH9ylpZIcLbaiF+EHfl/d+x88fGdoTlG22eY/tMshxqOZ+fPzkxpa8f9BePCc53H858bKRnVg
Vrl7TvqUs0gzTb8fxyQnTEFEyX5wUB1N0tFr4mk2OkrTo1NjLlpyGg9JwFIxmwQi7MFUCVkwvrkb
O/CbznIs2ZxP/nJQDcuRlZA5aiyHmFyOszE1d16GNAjDwU7N/psb94zo2fFvgm/nocfJmI/DBYf+
zvCZMKKa7e7avjmKfvS+pKMCEhqHJJtaVJRmcZgxxQxC31VW3m1Mb5o3jcDBk2f1oZ2ta9WoNxl0
t5Htn+fKP1JL3EfEGBpF89nQfnmR4y6uQnWEyREdSab9nOLE943wPhPug478cUVFQ1RiYpcg0PQT
hcHR9sttbAawCdJnkuMYffcVER5tP+ybEJUcbFBid3BD1TUSN1moi8pm0ZnUAuJQel1RuKy4S6+q
zHmuw/bMk++9XXKAVFus52Lg6AjKUyYTiTKnPbjKZ6fCJN8SAIjmXG8TgT2vZF9jy+k0B8Znvw5v
p8FBF9HGx07TileymamiaSN8Tmn0CmRGoXoEO/cErHQPXI14O7ued2y2QGWU4WuTkSTG1NvdgDXd
eyTewdq395kvrhnsis3QpgSCwNstg9DZ2vV7503mwUs8tQ147jPK9VidWO/GyFKBudG5ShHTEZOZ
r3tZffQJWr80CC5L3Po21c1B9XW/cnp85G0p167OkRqZevoCGvjka+erBAsDyzVWa/wwTw6CPlc7
jPTn2wrbS19bTwMjah754bvMHGKvhkRtywYIg5wOCd7zVe1YJB10wxsPr4KNqQtjodS7WHSvU1gD
y3PtnewT9v0WX4/rst6JyGteWPqKS6CDVCfZwjJqMYOmm2EhHPH6vUM2LdijwI0Q2fWwvKj/fMka
gJ0Vn5SQWLxAtbIgW97xGezSKgpaHO5ttFMGUArkf+zYaMNAWfTmeeZmuJ38WO4Tw2cJyNOR3aM4
2XZs8/RWkBr4njkqjXOsgTHL0SzYZvXgo9wKSkBiTaCZ7Gg84ndzV2R7RiffH2fk6O6wLdBB8Ogf
9Mrs+93QZq8+m/0KNsuKQ+rK7hirw/e4hU6mN00aX1ceWAdhfYLdON3XlpE85dbi2K+y5sZmN2wF
dbn1Wy7I2rOTbb5sKhyEOtChbQyi3LM+fuB9JghJljk8DWvoesgYDnSOQq3Y/Vwlot8mCqdeV9Xw
hVMsbCJqXurO2Fs24I7ero+5B9+D+ebJ8G33BFva3xRlbK0EltIvArk9mBIsQZ3uvZWzNJp5KNNN
hIqSDVyarWdKwdfKEp/jLAt2quHfDvXg7/N55FRKiCosMrSnjRGbSNmB2lhi+XwDj6BFJ7ioVLhP
h+E64o5aD3N3ilV9Gw68asqPnaWLC2siUi4jyKlQaGriuYZjqEjKCiW0NFaRdkt2SElF18bhtMty
YonciCDXBRRb+O6Frzv2XaW5j9zkyezrfWc093PS91BfYX2Tv8w2M7lquhrMW0djE8l6H5Tlweua
dxCxIcPWotuURsoNi8NOkFmcfcyaOL1UYX+T844CSojUNivYeevKPLhx+4nRwW5wygtAsW9jIRDM
FNmpTVi0aGvcM7++/7fD/tZhL7Lyv6sQmubtV1YXvut7jcCsi/0PAy1hwznA5fRDjWB9gMaFtJ7K
2f6Tjh5LPSUFuyL6b6Zh32R/32sE9QFQAoD9pVBgIvbPsFzwDX+uEVzE/Y7rUpGwcwGD+Ocaoe/U
CCPHG84TsyO5DfsAzEsn1QTxMwq3qQgu2jmBvzGRtZo8Wp0FugaHTtQey5l8u7H35uSywZrI5nkU
7bxNhjIv6I9zyBKvULdwZ6dlHczbVtcccWBbD6NnafWuTORQ91PT4CVvI+kEQO7nmXa2LAavXgGM
xU1SeVrMqIuSwVjwUtjRVgjfR2ubCQDjW0dacAgD/xs8NIFPZNIi7lHuOO5Dahmht5McMzhyOHBy
z2kPpdFPh9Geuvh9sP1xp2MQrFutY8xt6DMBmiejPhmBn75EIAw3SmOYXU3l1G+NlF1pn0U8n8Mk
XJkZaCCGae5Lv6RrznOG55SsACQPlXb27hS+e4PhrLLcf6fSwUqQkUopS75WGvGy0e7qPXrj4SLU
ZXPhL4eqjjI03C1QQUiljNQkKU4Cil+9ydCbr2rTYOPuQquxpsg80E1RhwRD/mz5C1t1LvSprI30
xlmI7uloqb1f5m+JJNvbTm2CCsPe2TdFi7qhyT3KNkmYqdulN4mJD7xSpJ+WPZHfEPO3vlFQwfn2
W4jY8cDMkMsCXTbgQLhmYM4kW23jpUwCffDmFMWFKvx9WNfvciCDsBSUSDKj8INzpIEb0YHtiyJr
Tso1440wwviKv5mNVeEVp4SI0qiLcVlIdICuHKZbJAHuflBFRoBpSG7ZkCHuqB1/NXSEVeZzzZ/p
25/TPAEWVsV6VdcO6uVBkjAtUyQ7ZV8BALfjvZV61S3Wc3CVemhvZURFMrNsBpswYQuH+pruZlOx
hO4R/zXOWG5HS3arJmuqbTDmycFKkVLimMoO/x6b345N52+Pzfsiff5VzsjyXd+PzWU0qRCceYwf
BX3Sj60Vo8llxigdtlKL7e+P1sr/sPxT7J20PLiDFh/x92PT/0B/BiYdBbNYJNP/yCHIdPTnYxPd
9bKMMG3BmgJ59p+PTcfP4trpxHT2OdVuZDxld5FVMnxLHXGahiR5mizg+X7bm1fDBIAIXjO0BrfH
maGG9j40ixRKHWpOjxHlVhothUBUhQx3zOs0DdVVb1vBpYtd4tYeW76/901n080tcrKiHA+Gr06j
mKsVhvr2gNQjeY0CMwd2NwRLI0HdWDbjlywM9amoFlEtEOONwJO+anwfW3I9PSqB/jG1n6cgk6fO
s/xdWxjDRU6CBXf4QFhrq4I17dw5QQ+66qKEEYtHF4DHHzOUYED4bdzAmoHRg88QopyswbltGUxU
86zfJaOKcJlZzAE3OEOMuIAdhm05OYpZDesWCfuNtvRnk+FH1Nn1zilznFvMRSKzNfbtMiuZl6lJ
uMxPUpjj8MGbYwRla2OGobNP0tzZ9svkxbMgsEauZhqTMQANiv52rgFhlymzSTpaXBCuizjKLwh2
UdexTUp0P/HuGMvUh7mTvcmWSVDTCBIxlulQxZioE/GXapkbZWmbU5Z68ZZM71Ooq7ld8k7CrTFY
9SY1EnMXeNYBL+hqMnAAjW6/z1o4GNPclc+sgeOrsXXejASfEIAqkFkAdTZDnqLR1vcAeW4zSdmf
jONe9OmjiIdWIQRtI4xT6bmvrJtCoFbTjWT+FR1LA+Ak3ilQJ7B2OYXJCWHulfaOvmoal6SPPLto
bOvNdRcKtzfc9yEneMNTZJ2YYGqzzDxLrQ55VuxZTF3Go7oCaLkPrQ7JaqqttRd4+Mzi3ayjczbT
X3httlPI31ezO125U7kpE+OBuh353uhceAGV7twFXzJRv9gDMDEV+q883/YYpB4qxRNzDBhQFmWD
sjsXU3ZdJS5LKeBQ3SukE2hqNpr1HSPVSzXk4O1kFiWXllfVRDlMaXEqFcsladXjpWaAcfz3MP6t
hqWk++817NXz17f6+RdzLr7r+2FMDWsKsezmhauWvewPNaz5AeI1MQc2J6EQHl/6PueSHzgjFRRs
BlD/Oae/H8beB7nMt3y+wWaL9M+wUCh3fj6MfabV8Jo4i6Eh+Msf8aOAgJXPhIDM0udAZTs5EQLU
Npg806m+ttv0E5fpquQo28zRdJJQ5fd5pq/SojuAqn1zjJ5IIuWCrx+aNbXDxVioYDWrGCpRT61r
GLd5FMFZLJCs+ln6aKqF3xzBK3Wi8tXqSiDXPolyncae1z95afZuEfDhChTKkQ6/eCrdGP2gH2vR
mYc8SC50NgRrGbgkprRWseu66LqIDIohSzx1qcw3VUSd29gO1ZPhOTseAO/90LzhC/cA2Zve1i9i
dlR1dF8k4e2ocyKah0djIYYrT/frwo0oxBmhu57hbjr8HKtShRz9snjx3fg1lDX6J9wb9cBL7GrW
FU1p3RgpRL5UXxXlfBEXEdvZ2gW7HYkbNjY3Zm6PKNrTFvFkO65Tov72WLd7MNbDa9DE5B9YHbDI
0KegCl02z2b8se+nG7bOJJybLQ8rmzATmEr3TUbEe2bdkgVUk0PkZBtDzRdhqk5hOxJtFZq4aUPw
W21/1FYJX7Wg42ZDjOOic8lfihoCdkJzfmiSAoZ24ZLg1UoEfmVrnzD2xzuVjF8p9qeT7kNrbeYm
k48s9vf24BvbUtuXXsVSwfFLGu8guJ2MHHwRtKXdpPHBqTSDmGJE3jrv8vC28Ix9sdB4Irkr4uoL
UMF532h76W3CRbMpI/YLzk6yv8aRT4/h5cGu5TGxlTJHmaOz1xaly9qSVKhEP2TbNB/HzZgFXwjt
OXq6Lq94Qk4bfui0IbNiR/7yuDHnfhsFVrvtc685CVHdJYEMN5JB6SYeXS7IDqWCib/kUHOkrnU3
v3a1aa/KpmM9ZaDgjpNcERlTyEMUC/KbJv+KUZra+KP3Vpc9Un9lXedDm69ZoSHXd+IRYmiU7ko9
+WvL8O7z0P7SS9STUdYs5YNMD20zYvLRw70xLVbEcHqVDq6WIUP0wDSYCVnXcxkreUNRgufWSZ0D
QPUnFYsXMyn20hjJEB+bK4PwNN5nRD/OgJE1rF4mhQhIDrKSm7xR3i3FTOucQGVSPa24eKPtWE8E
Ng1vKck9o+aeFzzVWeOxZZrYB01L0I8csiceIsQu+9iJccngTXWnx1HD1/SWqKAxMgj3WEzYBX6M
hDwhfwkWGkgYIsaJyd8SOmSFxA8BfcOKtUQS4Sn5CEP4XHslLGOUcHhz3yNSjIQdHnPhX1Ck3c7o
T2fSjgSpR6ERXplLDBLeJk3wVkeHVTt3ZgFt1eLn7iryk/wlSEmSqAR2i2ilhD9c6UND5hLt3rtH
GdksYUwFLs8iyKZTYUzPwsSvhsjeXVVjS6rb1HsnIKHEMOkx6DAUte0n0rv6YjeGpUPumVEX9/bQ
NY/FOA5PYyBgt3pm09cHO/LdL5iT3VPbgDy+SVEC+8e2MpwvAc/Z4Cp2WRZkKmk3nQo+WaHjbd1R
cGkEeAsCrpeDU4DlHWJGYQPX3dbFzb7iKnzqQCETtSpwIiMmZ9e5khMjqiFCLkzZe+vP83nMu5Zc
3HlRWmc3KQHtD53FCZeVEcdTAiG70/G7ruVtjTntYAzubgKqcQCEl65lKe9s1X7Npv6xcrGucRfv
/QBQherCVWXiBnOiiy6ZcM6W5rM1co4X+UBmTXZngbBet23QHCqS6LjWgvOUmGI9tQD/DBAxq5ze
PznmBVarxs6fZdGHGGYQWxJbfRkl8YvAfV/EI7FmYpfDqMbx5e7ZmnIfprTr0kg+muNl3hOiicuc
Qimf91EX7Y3eP6OEj3b9FL97dgjipj0GuY1FKI22FiPmleUTPJL2FZPgbLjPZhtfTsDpV2eZJtsN
oO80kdAZiwiMB6iPCcWp3ZsWoAC6WOFVd1HsMkupJe7s6qZozGgNaQA1N3P1KhTXTohnzdXGzq1r
IHUyf4Tye1Nk1bXh4csvTO9T7Pev8eCF+2FML4ZyLFb92F4EwPLcyqfDjs6TW2RrLKCnMmC33sXl
LlLmsWz8L8guScEzC5wORmGtOvZFORkva3fCzTeltELyXqqEQEHhvHk9C9Bh5rC14UTHGaMeFiMk
703jrvbqk9P6JAVGmNyjWh4xxXI+s5FJ+nmVGNE9ERjPVSePGFBZ0EyXfWE8JjYftUlyRN0VLcdN
v8ss/RYrdXCH4lgYfDUo/XdcoF/LxrrIRLj/t578Vk8uQtn/Xk/epM+vb/Vf68nlu77Xk8KELcLQ
8T+e5qV5/n1vCkyU3BRmn4jMqeaoQr/XkwS1sBVdUkcVlShr1x+be0mogEORKpgYILf/J7oj5vU/
15MUkxbpzFSvcLWcZa/7Yz3JppJdhyOHczvSLjlt8qnopztuf+5Ipc+ZVcWvVEc5x679kYdNvO5t
I7jHUfJuhOYOCYizmm0D2w/Xn5mnuLMkR2VUBy+1RnwxpqAncA/dOSrVe5OTcD/0wRW1Zb4JS/nS
2dG918+fQqS3OJ54dKHsWI9FmB0SWZ7spYPKJM8jW+W7ORX3/C42dxYZveTHbaD3WsD38KWS4XUF
reGBkhoXY6K/xg3BTpg8YDWfQ9ZzhYSZR4l2K0LT3FHlE0Lp9DejwAGIZtpbSQGNMYOCQNAgI85q
bVddfDQdpDxDaR2sEMMKC02UU5gRt91U2ls7CWCxpOhu7EwdaPk+1qql1Vabzra3XdmYq6p2I4qJ
6QhowFm3eejjxZwfXfU1K4JNLUZ62Owk+/ZzZ87RuozJY2H31dMGwlrxes52d5zeerM49pZkxAtj
TZnho7boTjngsFfiOcInw0B1PsRCnsl1uV423bqoHwvDfem66UIWCYaqeUPzva5IBeiC5FZMVDEs
Oe983qEgolYzCo6mNL2uHXXnReZLMqKmGU1lrVwT4rmSw0MmnKcYR4EoJTONPgc73lnQv0d5YYGy
o6rO195sIq5ClDXklAd28FCO9XXZGRe6RkfUpCmNCOLP3vhY2ng2w/GOQIodI9bPEOhfSexk58fZ
ua5LJq/z4ioUTfUup+ne7DguAVNd8TFdDrHELURcrPOOGxLi4lKUdfOulEUDOop+AZWnFzMEMTX8
0Vi6qzovvtiE9dgUd8hcx2enG7i+LDRuUFcZkrTFpdWnXwOuSFXbQEVFsQxVmRhNh8Jrv/YGmEkR
2h/dRu91RF2FCuDGMgeEVpiel2CBcFUbU7wxwo7nFpt1EmaTx7jlTZpzpuhuyDbUycRd65VbVWaH
CTyj2jYEXJwgbelr0RWPY/MEo8TmnnvKGIsUSyURasx2lIcPBWB6luO1OgYJDuNCNuPe6XFSmt3g
rLvKItZ8mSNHRvmOmInZChOKNr8NwiCetm2WVPND7xY0dm4/+g2lf5A49yBQcZbjAHuMnLjYOlZ3
byomSQGk0RGS6UYNuO0ZfLEDVXuSZBsQPb6/aYc6PeGhklsiIxaLo/1U9G68ZeDHjCbkkqbe9lbh
WK8jVP1rI8o22lfjvV+O3qJXO4/h/FVApkOM5G+Q2O7Modt0CdEf8wiWIPf8cEMqKv4oeT067BbK
aD2b/qfIzXcAQoNV6+OJbttj5IPmxe+YjsVNGnW7sjcot4wGrzmWfqNvT06Y6+s0GR8SB0zXZFt7
FgHXTVzfjFX3oBJ1qG0nX+tgeIHZ+1gUoDdNySoyqIDw0wFVzPoW//WjC09oVcxsMVGOXg9Br1b5
gGwpCdNLc5j3/F9BhCs0/wpCPTa5koWzsa3t5H2aq4cylo9lFV2ltfNSN7DrzUyevVadvK4wV04V
snmuBoQYrTbWZmC9mGN854v8kg+vgrXPzLNN5EPWszSfU7tdu4MfbjHZbbzZcDbKRcEVJ9BtW26m
iVtPzrzOUBwbzT6WHfAd8cTHTlgn05IXQddeJi74WljYsCQog1ZBT09oRxnzROnHG4JYZhCS7ZsB
K25XqApRY6eiFZXmNdkfxrZPu+kgsGjOOng2puwyTOYHY6LMs8bplblDfD8t4KcaAlTZgILKFiiU
hA414CHC2m2WyKzzBwi+JKaUr9Es27UWZvZxhDJl5OJBig5wasmnkcqAPhZQlQ+bClHpUWYlCzWv
g3XL06FsIRYNRABkKdcabujBhRagjfpUMz2hUkp1vkWQ2uyaoG3UF5E1rfxXh42uCnCxwEb23yui
q+c6In35FzO25fu+10TM2OxFE8YiGDsPAZ0/1ER4IpSLKx8dtoXu+o+SSH7ApIC3/Xsw6A8lkWSD
jDxbCSg/TNGZif0DTwT34c8lESYwBykZ1ZBy+DN+Ms7FtZEICWbqnJkIJ9Aok0o2WmboH906z/UN
ewP3NHeV98ULnaE+KCNnTzCMxkCShWweVegU90pF7rwmpm0odnYu20+N3Vl0q4y8tl4IuMqJjMdR
QJ8d9YyVWIgEB7934xPn2Gnr3PVwOtPpedDzswgDB+Pqndf42ZYQyL1Is+gsJqZEVuJtxx5EOld3
6MUAAJolEqXum7U2p+ekqntaIaRBndDN/2PvTJbbRqJt+ysv7hwOINEP7oRgK0oiRTWWNEHIkoy+
7/H1d6Vcdtkqlx1+45pVlC1DIIHMk+fsvfai0eiGo99MGW04axSe40LJSWU3O3dnBDWF2gAvOrNO
Rm+eMjgGy0S3XyZ/vCRiGhN0rz1VeXVd6uIxdJDQFD72aHLAuwWDa9a8yM28oi+AjhjmKbbs895p
7gVQsMTK03NI0PsuJKu58hk7GI1NXGodoDIaSiKd5+TUVyWy8Lm80OteRtlwNKyl2KuGo74gnY45
T4oUq9XH0BvzID3PGZnONrArixDiRlPLZafWr3NTT6hxxhRxardNm5iyM9tqnOkJnY45NrueYbDf
UBCvOTChoYJJwi+lITrtHXMb5fyX0Y8dCtPiLg+TFw5vV46BzLZMn7UkvLEKzP5tGxvnvunv0DFd
RaUMMDTt0ENLCG2DZM5A+kCYkZ1Cy7qhPqOvZ9ovVpHv50k/lZMD0EN1OCfntr2gNxUvimDc5xLd
pw4IyYp8k0YKKl7Jy2k1CsIqv4utJl1abEBrzvcrq8SjbFqDpwzI2EPVWRuV3V92snVoT43Tohjb
tYmV3cFNGJcAyK7mHnmRqYeXOdBr8AdkLcdTd1tP8Se/hz5hhUwgOH6siVn8aAnn3vYDT9TaU5oF
eDvlr6H2J2UiqNSfD2kS0UESa9c/8rAWl0bfnaducoT48hhZdKtyaNLresQaD+ijhZQ57VuLx04z
4/NCEEWGvAn1g/NRIfVoAa4/8rR49D2llrTx5NIss4Pu1ntCDI59Q+eslSK7wDbWil49kiFIUpAg
i4j4Kquwz8reOkwSIoTYaq+4/jroKxoSfnODGu2TpYwXtdW9Cj+7YcnfaQSExX2i7dTQxvKTuqSA
F3wPTL9fUm3gFZspQJ0xRZSUWwduHifCEN5T0pOnpmYH4WvHigxdJj6fFMX3nALInR2iXcr07CiZ
wjQCwr2dtfnHULL60gl3NhCadK/AgcaaAOrHR1Pr2Vn2hJYgWbVTeqVBUUmVAiso0ZmL0DW2rjOf
p3l70WkJvT/jYbCyp1ZnszW56AADDexD6rs7UIOHJlU3hm5s9RJ2A5EMBJ5bxgKVd76eiHE3hIwN
xiAxmeGZC+plH2l1ftVIcuTZiPOeBSLvCQTQ56XrVsxbY+djl+UpbemMo1UVkdBbpWq7oYYGVJQX
UKVGQxzHyUDUHWmXIS+Wx3dugk8GZ2z2IGXp7I0f5wobSa1p6T4mKWjT8hGshlRJtxoaOkoJzdaJ
LPMDgsytNty2ik69DPMvRZOiamsl9pP/5N5ftmlpGfz3bVqGLS4gFz/VL9HP1Anyp79t1sYHAOI0
KlyHQJQ3UdXXBgZoY0dlDmzgmkKopeKp+trAMPkTnEyuaTP9+hGOqn9wGFzJIdZfzsc/2a2x/r7b
rYEAUJegEGNghxhCfdfAcEdTIROaBU1JHLE0e7RNDgvszuqn6rGvddrnbdWyt1nQyW0vSGZTxmxV
TXwLKy1eudijqGFrYSzzqgxGlaAhtb+ClVNMT51maCRPBECBO2IY0j4WFPSQYmlR6m9+lsTWqhl+
iVsHzaZFuxheOy1d6tpsfRjAis3gaQ7m+CYr0v6WdL1YeGmiTlgXnQxZahyH67JMCZ0Az4kvkYiN
FHTyXa71CqCouO3vysyVqm2znGHs51iuPKWpcg8Bt3PUk77kNFvFD4pZmlu80+T3cYL1D7aqBc6C
A1tExEHldF7mzxlK8Mjy8UUJkh/VzMv0uAOgYGeXtpX3pwwuMU3ERBhoM/N+2ykElHRp5eB2yeCD
uK1bzIu+7iyUaU5k2l6spfaJc2Axo0/Noi092Pk5E4oOtcqYmtybVABF7LP4oFCGGHoHB8zp9XZj
1nwhzRIQZP8AU0nTiF5H7WTEWkcMe/wllB3yl4xoR6+HWG7rBg5/bSrrYGOr7XzV1D38aDdvrlzo
1YzWwHAvUhj/N5QUl66OOYxiTYKocyXoUb41Ki3c4A1WHQoJriZBJX5I0kbcjG6XMtS3OpQDxAhE
6VbV89aG9Fn68a7S6nhEwB4ZwyuM2+DVBXG4YfH04WCFKAAjF5pLozAyyhQwCCS0N/chIQ31oVKo
Nyz8av+1XL8cMHiB/33lunjNX4rnny5acmX4umgJ8QGqOe+hMCCcvemmvi5awpADfjzDZDrTu3Ox
dP61aL0lOOEDdSGXMGA3pMfk6xTf+cDB41vm0x8cL0ho/WHBcnChmrqwmeJj7XahMrzzXNv4MRwE
ncpBU1Kva6n3VGN+9YcwWHAGtxadroKEjNf1FGQpcaNlfXLrTLkSdq/okKGK3D4FTAId/BMTOc2N
Vn9k8GdPz6ZCxWfRpoQahvQbgiJycOHMm6AZ+C9OPRtcqBCDpWwc4/a46kvFXdeauAcYoz4HFTLz
SozlupDS86FDBN9LOXpb8Hd1KVFnbagfyzfZuhSwz2Fvng25fRbHNaQr5KdkfsOfQffeie4TAVHs
5VISn0pxfIpK3kEtP0nZfGabK0obuLhSUp/VJGm6UmZfT3g8IB7TyklGVFeo8XVaBSvIeDN9GKT6
sz6gJRibY9zkVHpTmz5Qtk/XmvYxMpqI1zC5pJcULi1cAMi1MPDhC8CyCC2Yom5AyNBEA0xLxopG
m7YLR9oKbGkwaO0hOsvfTAfSfsAoUl01b54E4i0HSkGMCn0Jo5CvRTkQtjQtTPwMcVvoHgTjs0pa
HZK+GK9maX/IGyO5GnFEFNIa4UqThP/ml0jmOVpTvGLW8fQcJm0snRW19FjMb3aLcTScJdNnTBjg
puGiYXL3r00uu+nfkqt5sPNdXvcorxrsEb6lOBesTjSP0bFdJASqwOzTyDu8Yj19SEMTIFpuPQV1
Zi6Ghkkj4QMPCbvFym+hS7uEfbdKcJ76UBideDqkTK7hRWSfw9lcVnrQHggpnTzwu4TZ1g7iOHrs
9NSsXd1X9pkwS83rwUSFMY4CjIcbg7DgjVszOh1NOqHGNMD+j7py4BdoRUe7su4HYVz08CvPJtrS
WoFu92i+ZZDRxZO21ZF+oWiSYInDtz3HLY9+gwftgHjVWteVWe0tg/JTKRBe1YNgEDB3Gz1MH9Pe
XsJM10gkGZuzYcx05GKBtjYN37nE7rVWMvdFKA1B9NlV0XW3vqJfNCUtpoVQystJiaadkBD/oJi3
ikkyYNaa6Y0a+/7KcV5bElOj1CbZ2T6fQhSEdhxuqnFaWYxlueeDM+XnJu7LuVf2phadZyFDvagz
/YvcYU6fWaW+7sLgOpzGAO1duqvjfptUfElOyClmILBeiW1/wbD/KegG3kArOox9QRRVzjFCafvM
c9zK06x050Kxdur6KasRDBeMXAoAm3bE0pKt6Uesidvx1L4p1nTTTmUzMHaJd3ZvkIKE71Ijnz5s
zZD+RXrrIH/kuHlLReQQW+8WFjIj1zrznflzWWknc+52Ngw4nRxouLK6p4ZExyqJh17+KbT0jVX3
qwZL+SI2nWOT5CenEC8uzVvmKlBT3elkKHBOs6q8mAhwVhLDK/mOs7jDYYVZOcjw+M4QNhlzPiNZ
vsHGTChwEu/qLjzCRD1kmFWxmu38sdjaGXjYgMunpnqV5ePlVE2emKdd7kMowz0N1WLDMXeL8NbL
SoYBzbhWTHVkJYqeLWqiVCm3CqanJMSxWhZwOFVnlav0/FssbXEXHEWLB6cPtiMKxqxQzhkgrac0
YgYLVCUZoZRlnzFDeH6tLZnn4exNX+v0tfC700j5EDsqDX6wY0N+b6LygOFNVhzXaGsyocUBXdF1
01prGi4MqMeTMbo3aTyLpZviwSkQKWZG7bk+5m/iqJCLq2vyRD9PVXTJCrdGBOU1IVA+B3dY0IQ7
XUPxP9f3qtZyOHSuLau8d8LmFDD36rKXfCpfK5W4IQTzC1uP1pFV0gWdlklgrEIynAI9vNLr8KLo
9RPH5M8abGFRqwt1oEehqlvF7bdOo6zVML2O4Q+3pnZLU2Zhk9C0sIDw+Uq/b9Ruzat42bjOWtOb
M90HAjpWqwDAKo2bZllUZM3SenseuuKefwrVF2rHqSE0gDepgrU4AL0fnpq88XJH2adtsZsVe1VM
ONJ70DmhwiZBKnDlofTCvWzZG9H2H7Muf2xxLk6lvUOwhwcAB2HR1tsc47Y6ZjSVTJfEgf5+qNWP
RR2fCkVDxDByToZdoLmrIG+3dmvydNrAQ/orYkj25YzhTyEsIbK3zugffH3e5QZMRF+7CIvIgT1A
TlY6HUtf6gEGst2cq7h2zzGXPZQWcd8gFTzhQguuLYrW5pA35gkfnrpwtOa6M81lX6LCqWc6TmZ6
npoB6MhKhRwZXNRyoZqL+ylp96I2N2VJwF070FkcvGaQRU+OSiG/rcvpTBPFXhFGeFB81f+EpyW9
btD4e7NoaX3D8h8Gr8enqijxC2Kf27jNEBLAJmay1z4YJl40+CVwV5lwai9WpizytrpP6nCnCu3A
eouXok422tDszTnivUxBrc+q9hCaTbl29eQmq1voe2OySXTtiP44pg8HCK4Y9DXWoK2fWN4gFJCu
TDz6hnkDAy9PmwRgwXhlhvkRzRLE5vFszKeXUilXChTllkAHCXnhDUDeHPf2qusCUqCV3ENZhQqC
s03KJoGVdtsrzkvfm2tihTdBb68jwuzzgsTJrEHkEozzeszyPVOVfd2aN0gHMZq0pZc3dJYw1cN/
Vs5yQUCeimyD5PBaK3ap0l7MNHebunzunHoVxI0L22W86A30MZnK9vddSfsTchtd7u+8zF8qRNrS
FjIyW3MxifDn3yHImKjVRM/nygH+YhQniyI5KehBfn2Rd5yztzIUkYGEgmE6ZL7940WQYKoW2gPl
MDqfarRg3cNY4MIj+D38zZV+VvB+fyX5m3x3O4UPUx1IiXIQhIgaNHpsJnvzrrDu4u4xKizv1zf2
00+Pt8k0BG0s5I8/Xk4gbXP8tAiOvfLYdvsqeM7T519f4md3RLVMsSybIqCTfrwE6FqG4lMZHkmp
iIdNN02rFCh7FmyimY5V+5vIuJ/cEdgaDi10UphHWO9ODFIOKSa1jY7gqKC64vUhLCn5zT3R4nn/
0P1wEfnn331Lja+0puVzEVCRi7Y+5wS+/PWn9rvbkH/+3RX6dqZ5i2f4iPzTgn2RFDc+UtJfX4TZ
0S9v491XUyZTUvZZEx1HRV+EpudGR3KpWOAekGFYzUF0zW+u+LPbQoaMDRoAAT0t8eNtJRF9nDzW
oqNdXeF28Epyaf8wa1u+rMiEAAQROYTux3n30fmmrlhOX8fHvAlXmcUIvvCG9PbPPzrdZqiPCggI
kfvuIsUQ2nYUEQdalw85EHtOijGLgetfkxFioAsd/KtfX1E+U39DG94WOpa4v6/47ssKXYrZUpuQ
W49AZpqPMCR+sxhIZMV3l5C2UVOzDYjjjPIIeJLH/e8fOugk+BdHLTvG5/WO7Fevu4ATsDKvwpPp
kfCzJudy/eu7+vGS/7yrd5dESJ+NWPLiY281+G9o8hHuJYrtr6/y88+OESUdWJ48ybr6/sasGXVY
m6nxkVwiT6Cshefz6yvIT//9t4MNgqdNMjHt9w922YgIs4ESH22OvpMjqDYfIyNYBHH8m3v52Sf2
/ZXeLXAQBIqaYUx81MzX0Lky/etq/s3y9vNL4F+TwFgwX+8etQh1jmPMQXLM84MJLWuMxEJ01m+2
up+tPjxs367y7qsHHBy2U8BVouQ5Vba+juKD7ADyi5L2qCSb1PzNd/SP28LKjDMPMgtbkWYY70oF
4fp2mdlFemz7TVU/Dtaqmk+/fgz+8aC9u8S7BntOJLJuhVV6HGbCmZRgOSEp+f+5hLTOwINx6bP9
+CzH45gpKSetY5M+K/OO8eZvLvCPR5l7cAxh8p7QeBOm3NC/23pYOu1BI9rgSJ2Xdfhf4p2U5uTu
69uN/IcPklC8X3Vl6+fXF9qvb2zM3cv//s9fYhF+6ltLFiEsQZdIvECLfSEAfGvJah+EwRgJVZIt
Na28NV/nSIRnUgnjfHU1unW8vH+3ZDFWGThfEWoglEVE8kcuV9xYP6x2oDAd8H9UjBAKqBmN90W3
rgh6IVWSHDTVaOsz3Iil6kVg+xXMEok9sO2iQ0BeF1dXmp0sO5HtSF3bjrud6sebXDpqZAuqde7o
6pSLMupvMOjWe3VMi/DelyJ7q0VjOFG4etmbAj/BgoIZf1sKk0gsdPpFMh1GJe2pV8STz4PsYUbf
l2j7c2vEZI7af0T1X0r5f+eMdzihXqzSPpV6wT+gz+U2GM11D4B8azTuFdOmz30BgT6LM3pI0mpQ
Dm1y6+M+UAwdWYE6tV4yagcHh8KQYSG1pNQwkPaFsXa2vVXiPU+GrU/OnSGtDkMBbq2X9oeiqPoV
xUS8LfUsXbm17TA+93EzVOF9l1TtMgfzvgkSpraznN/qcpLbvQ11BznfDd9GvdXb2FfICfAoZ8G4
X8tVIufDjZwUw3QKTracHltyjlzIiTJMTvMQySlzoDFvnhg8V3ICHcpZdC6n0lZltxuCypt1+Da0
BmOGiI9Bti8n2rmcbQPM6eEcMe9u30bfsZyCI4TT905Zc/LL3AmJJ4qZKjozbMXSdm5CZ3ktZLTF
ZCfaJ63ScSl3xO1VcXwR9jg3faRybQLrBMKMDI9eq2ZGDotbD944FQzx6uQVM97HqknOCxWXVmYP
mxQThgcx+KJ2lQtiMniQsmhplulpDPOzUtQPQknO4yEqFpXIboAMksCC39TA60C82SWjOWwlYWsn
WNcmUlh0vdehBplhPF/gIM8XajKskhKsqY5OlK52uOsyppPExueL0RLOKpuD53lk2fXVouCwTYe0
kMoM081D2r3mM51nUp4MNfFw4jZLPRxXnQajMptug7Edl5BVTfpkPflA6KIXsK8uW2vIlo5q4mMJ
mHQC58eHxN8ES7QIabXYHKDw50rzoukmnjMbPTHyUb9UR/XSNgd1lSCdppeTNGeq2u7J5IBjadK6
jggTWaiZeLRGDXfiVFwPkhrrTgPn8ryxFxUGXBerD0JpA8Gxbb9mfvCCkFiGgWCEiScC3SlsOjOn
sulphqud7XXNlK0KJn2yYeGuHR59VTOIRVcJ/1v6RLigU6QhjAUpRk99ljdtcfPf/vFlqsdy++/7
x+VT+fST3YOf+bZ7iA8qxH+TYodKnjPQd5JB8YFzETIEaiB5PGaL+Lp7OB/YVQAkkDYHDMGy+am/
B3qYKFz+RJebkjRf/MFQD8zd+92DdiJsGblJucJCkPBjgVFXTWaYvZgPpTQsaEQ1LGppAy/xg2tx
tfHl+yqN4n7ZfVJxjkfWCMAKL3lj+umywl3u9tVSlW7zmXaVSfMeNnGLdD06WBgUJ985IlzVPGKO
BERQdZPgYh9wsxe42h3c7V0sCGZB4OdAqfHqAGAdr+C1JU3xaIVeFSsHvOJy7pbGedvCQq9IM72D
q35C4yjFYBsiW3eqOdheiQMfItuRAJWDKa35XZ33tDT7FO/UtPFH7EyT6V6lOPoDYjZyafGfTGZs
QYrtf8L/P0gQwCyRAPkbHABKwCxxATrmYdbTLeEv6hq8DdFZ4KEJlYKDQD+/POvUIFmJcshRLcKy
TMLKi4BbukAugy5aSmQ1grlm01UShFkY8WaUbExbDdcw07aINCFzAc+smnBZS5ymgKupqymATWzC
vkRuOlJv7CcYdCWO0x2s60oCOieJ6iSBj7twwXc6cDzzAaslKAdUcxLySflwSfouUzvwnw0c0CZw
bmIJBo0UfWtACqVYR91M29WRENFG4kSFBIsqEEYLiRqtJHSUTDm65qO5IwtnXBqQSdnttkz9bC+U
0NIA0YZXSJCphW0ZtRm6hBLKaUSsymqW4NPKh7MDA+K51gi66SuN1VGCUt1Kc+hzJ6tQQlQxjIdL
ha1/3Q+SbZhKzGGC621nSfRh4KiDNyhOsivhIo7SNtLjWFrAAYk3bWGm1bZuggLDD07iM80KXwKl
gJbmJ+7ZXIao9dJ6V1fBTaOCMVJbsTUU4m4x86yasDNXvUNwSp8X+9yppdHlc4Gce2HMA2VRf182
oOasObrrRIV/HL6k1/vlPUI/dQXu77zLx/MsUw2vdmK8pg5m7wJ63WBe5LPDK6HctYOmesYgjS9s
O1YAcpVdu3MY9UVUM8xfiwX79ia2xXlqMQ9X3fZxLv1Drya37hhyHEDBGYjK3JBnR3q5VkWrmsDQ
NbnGT66aXIQI8Mc0CFeq617kqbttCTrwBlt5ifzoFn8qlFklCHEnqi96VN71ibNUEEMuahQKT31t
rhRNecBkxYitdS70EamqNlnJlZUYj7QJ9o1mv9hzsyfC6HLWjD02HrTrkI/HohAXeZ2BhSQnrLSt
vY6Joq5jdaGI8NQHardIoulR2DeJsjImZ19GAPn6GJptGNXw+BSI0ahs2yS9QiCgeKKosSKg/Sfc
2SMS7BiaDKAtvV3qkFSyKF4pirWdpVoA9RJjw5pOd52ANALSgrWFsWFyiPA8dAbfumAO0NvgBJNs
fnStvl23We1ZzhbFDzBfJQ4wCFXn3TDv3DL6xIgYaJGmofkcXMrj+LpNzU9uzbwHKDGercq+CxSs
2Vrm8xIXIeVS2FJNshZCiUzHTfNG0vhvx/2y43KK+sWO+9o/vfxsz+Wnvu250rrI6UsFia7T1+TQ
/P2JzVHhsrEWyHMT2+HXPRfkq7Ash7MU3Ff543/vuaA1VEjqEpSBAAcY7J9subrspfzdnuLAZkvV
ocmhkcaoxW/x45brd1Gpm340HaL8qE+4RYRPaiDsi9txFsNCnQRGGRwzzpyenMn4NJWp4tnKrC0G
QEALjNVodXHcNIl7QGJYUBpan6CdXaSde4f971Yf8s9MmtaVNO9EdJDTMisJnLaEp+HwUUV2zmCL
kZo0/yQzKV1qxWSVGBvCTJM7i1PUWifhB0d45YHtSQlmNu+TlMd8mj+BXSOgFMfRgPMIR+GxxokU
kZe1odNzneFRKooxuPRxLRWD1MDhY9Ic4t7GHH8vDicdNGyM4wlt367DAYVV1Gfunq/zUPnY4ZFC
GLCgL3pJfM56NkJs37btryiQGb/gsAL+vK4cRDw6Wnh0ji+FGx2aRLMwElbT9axkFPS+TgpC480V
Xi0z1iM2bgOGAUa2lauYD9mc4OIffJvSXk3P7CJyl9VA4LUy+pL3Fi8d6Rrj5L908ZHBIJghanbX
FsN2stXMO8kbSLwgqg0Cxjo27UX35kwbLRJeb7VhmDGcOmYFG7JqVRh9CCJrUmSDWFLzgtRY+piw
FhX50Y4Fg7OZNmo6bueht1YdSoQFgNHNqBq994br9RlXG3bZSx3LawnEN1XxvzGZeJwNqjXmLASl
+d1tm+ePEYN830TSkxacfJrd1JGUXYPdsOJ8WwhVWYVJaS40u79wpa4wIRSUw+vHybDOshIvXWZO
T5VmVrdGxgA+M9jhe5ykA7arcTPGsb+NTF9fKJG/pa1feEGl77E1aQtXYX49KROR15lzp/QIO6xK
WQ+uQA7Ww0PnJOj4w2524TpByIIXGuS4M3C7YaHYRFEIsM6mZyD8td4xDFVodjJSvJtJNExN8bnQ
+cxY4O9VhwhhP7llrv4QZLjgwiSChOVsk3y+b+o8458PtwSRQmIC45GP7VnW2TzN8XzfoxwhnfCp
naIVwJq9G0dLLSofrGhol75OxCjwJVJW6/SG7eIW22O/KDuj4VdL9ki7VqV0CLb2Q8WZfIGm9KKm
kzEDulJ10AsodzbqhOKo6x5NJziJtFjbWn5gmnkYS9XlHZvFObZ9/CRWfg5n9FLowTrJXxIO4B3J
aKtm8DdFNEjAiaEtQTMdI8vkSOrzfwbcD63d3M9dM3p0N54yHxKAqSatB2HkTEvxAKP1uEG5CcG9
SAEg1/YN9p89k/mH2QkvUne80gWAVzWB8FC5L36mbpHq8hjZ1a7vMh5AX4o5xpUfC8DQRskLpd3w
GN/bLchAIusv2whFgKu/uPNUr2IFvapPfyFrNEO6kG04CDnmNSskRritseEmY3qcEveUYOqQkX7V
zu9DdQXAFyOO5X4a/fYpSaujr9Wd59umv2wG1feyqQJzFpv70mmM46w7G2UqQvod0pdX5tqzL516
aKNv56I41+fgk4aVD0XstM2ku69NxGVIN2nRwJNH/4KXADvHa1Ha86rD8IC1pJQaqYqNHfTLwnLx
EcbSUegb9fmMxbDFahhhOQyxHtbSg6gOaLQxJY6YEzH+YVfFrli2oUqKJg5GuujLOMw6z7GN5X9b
/pctnx3637f8Q/2UB/Sz/9Gk5ae+bvko+g0YqfxrRMdpb53Yr1u+5nxgEzAFu7tDehXcgW9bvv6B
WbhlMgp3nC+Iq2/HbP0DJj9LGv0AmnE6/6O4Itqj7/Z8jusc2EGTYvZjSum8m0VUFizQgbQhWmUa
fJI5TYBpQ2rZK2Ol7nO7gUSiqFP3aMThWeRPD06gzV5px896b2qkVnK0xeJEyPOq0lXM/WUFATOO
KFWRvhd3GOesCbyn2gQyh5sTchxZgkVbr5+M1I9e2071gWrnpoQVcw7IiTTNWR/XYRfFFaErjSC0
oTag3dREKZxNtuJyAIEk5HcuVUJUWog9TYjNI/hQxQlG3mmM/GbkkyAsWEQcjdxbyTRVdI57qBbJ
LJ2gioY1qiAid8u5oGegcrAerjR9Pg97wAO6cm4U6U4Lwt0Y+bNnWjVKUk67XtH03VKgiT8vDWuj
lsox5p0/lb6zb8uQzSygDAmIlDzPm6L2hDIkq8mCi1sDbl3aVXcY2+agJCPiwsAAOkSMLWvEsAoD
20Jtb7VKSed5qj8nensdpeo1fZzMJOqyzY9KlcwXupEQ0lyug9IK70FJeHbreH7jZ+hnsG3pBbjz
Jog9iALBShSES7gd1YKeXSuWOaxLh93BrpDE1RyF8orbLVFJ04YcF/5sW0uh5eGhD3AuRiVORN0k
pHVUipOF7dfFG9eoUw09ogOPKGifRMoFfKV1b2n0FrvSuG1cDcEZ3vqadW1NjyVaUOh5YzfX9K3t
8sH0O3opmkJ/YpFjo/SaifSn717F45ey9f+RQXMsorxt/vd/3s3xsJtKxCZicdei4KaX9WMxG6vh
oCYurHehhuWauCzxFE58TgOWrb/0OP8NqQzWpH9f/66Rq7/W/1z/5E99Xf9AsRqscvD/3qxOHFG+
P/K4Bv0xVjKNJVIuPX8feTjmMLdknWNM9Z7Wgj5IlUcl7AiyA/kHZx7hyMfg/ZkH/YeJopRJGqef
Hx+TXuQCWJU7HZCiNGtVSfNVY6gNyHzd8au9o8YjfbzeJMHY9POSPAsoDpm5MZ0ErpMUGEahap6P
+Vgt8DLRYKPWMYiH89JJb9ZCa+lukXu0HSkkrwQZBQtA0so+mwLmMXFx70Ix8ZDQPucVi4EWzldZ
VNCDHwq4f6VMjAnsAwZjAisK2lZBiUIwKgaY+Q7Ezw4YFkkW4irRlXTXk5WDN9NEVBiaW8VmumTq
ENa0pMsxN1i56UVlcmJk9zok1XVBjV9mQ72sIYXs4lEZzwJUsviO3PKgdtYjxByaX/wrPpR5g8YW
Xsdu2Yx5uvQH90I1+Gh0QUBT0F+pCYHbXXnrxtU+CptHIu02cZnxy86DQHManxsm9TfogIu5dF4I
X0qYbKCkdkRPCruM8EmHylM6ehOhNa5d4T8nod4sTKeA6tlAua0uclHex1FWobQtfS8Ks3o1mNOn
ORKXGrkLq8EpTxGHGI80pQq9tI45YqN0ORK5UGJosAF7VY1JVqtXdVlsBE1O1R02gmlIp7lr0rZf
Z8eJVqbdEzJioqdkCLdoGsSxedeUnsHcj97ZUGKdIhACuf3HssMQio9kWRnlqh+FuWymV98m9EfQ
txN+8ERM6OfODoqlnZj5sjXmYq2pbQrCWhz9eoKTYzEiLOPyKqznJ6dq/IWGdQC6LlK+WhogcgtW
jWjv4ri46tQMR50FpdZJ4atWazOlSRTquNw1C5dd8BHwiQsvvIEOg9a6V9ibHYvH1aEzTlEYMGWa
ZnVrp3m0AqoNdSMgoyCqXHI7YhKwgopGr7X3B6deTlUzLlszegKkJ7tPxZM96rXXjEDPGsWft35b
GEtGoAlURAPFnqC5C9qmXI5GYBDiElzbvs0zVehii4vhopWhV52Mv/JlEFYkI7GAEOxTZbgCNPSQ
y9CsfCQ+yyRHK7PE1pJCnD5wgb01DbBcZrh2iMVY+hmsUmsXpozmInz+UIzKrkadjL0tee7i7mOc
6Z9KUr1ioyOVIiBPzNQuaxFkCww7l7iz1VXsIGv3ZTwY48mjTl5YDJhTluVbnSSxIXYvR5Ffk0Me
c/6coci0KoYY4segCcZgDnF3t7710BTVlZBpZXGcvMYz+WWT8NHK0/kXMtusMZDausSdFSG5ZzqB
OSuGBR9zItEwRFKhEJJWq/EjPmv6GzI/rZRJalGhX+B6voOhsNeIWkOrrq7U0QR5AN1GprF1RedR
igFtIqitJbDNjovzooYzMthIp6kq7lv0yoAVyXnrS9r/zVv2Gy3TRdW4xkEkhaMsKwTICBLYDf7b
FiXT69+3xVPUv9ZN9PKTk4H8wa87o2Z8kIm16DRUdHQSzPHtYIBGg24fDTjKcgZt3/UCsdpxhmDf
Yy4GGhf27XcHA+Q4CEGoBv/y2v3BxujKfe/7fdFmk+VcglLNsgQhiu8EZKHIEet3urioiwqE9bmS
YhDgAWZvzNSla8TJwe2EnixDywcdFklMlDZNmg1gBy0Bvpf00BWVAtSTl9I0cx7jRCFjVDT5nhNw
dg0razh0o1Ge51FbPLdBO5yJbEiuDW0AT0AAXe61o/3qi4gxj0GEoRbX2GpsTHiPAMdoWCg9xJt6
IObPTTeJ0IblnOYkKlCKflb0aD6JxooILUTGgKtNSxmZu1SgVrUcRSxAcLGY09pJjlnW+TcCge6p
ezMcq7GZ4D5O36zITGXIpaq/eJQ1Ow8EF+zUHr9KT+mDm3l6szZTXfRXda059EeQiNBIezNCs1TH
q8yMqvhWiaVVuuoTbNOjsKp6MdTSTm32CAGTrtN3hnRbz+y7S/v/2DuP5bixNVu/yo2eowLe3Iie
ZCIt05BJrwlChoT3wIZ5+v42VaqiVDo6tyLOHXREzUolJdMwgf2btb6FwVVaENyuqn1NtkeqaDzr
SsjOKXhronLZT1Fq0FoptWyzprgwjM2ktcluipAF+eVsXmatFc5Wl91aSdvWJVm0r2wsF0cLP+PO
rd1YXOaEBc9ELuNsLCO+mMMx97KpUL4W5f/cEcxf3hGgA5BzvMw+/oyVLR/67Z5AtUyvApIHIyvD
AjkS+HZTwICrq7ToAK9N1vXvl/KMGFx0zG+Cq9/VXm3Zd9F//5dh/0Y+uaF7tq4a+Pr/Xt6L+Qbq
eX9XsFyVZYMKlduykHfJF/Fe9edooUbykFViPKAdpmGUg3u0+uPIYFMfQ203BOk6MzCM5dRqeCyj
59xz9rlAFux1G0JnT05f7xJLOc9KsFJNBGAZ2o8DVqDyTBrcw6SaT65XgaJqp2nhKsCLp/TObgJW
8d1MvmSYoiZJHLjVTNWw+CSVusro/6jqpMRFQ+vCNlf4npS/RBhAl6nlFotC7chHQiUzS7mMFk4+
BTTRAiUyFymp6aW4hsRNRuHsPaeJMTkdgeVHUowjhHovpDoH3BsJy63feWa6tN8kPGh5bCnqqaS8
p5ZCH5JOWIu+iX+K5LMXe+5qksIgEprkujjaAeIJdpmUDyFsXpUFMgEVr+aVZSnDIYiZTQILI5az
Se7jOmcAk3Ua+oPkXDKQloqkxTCb687u75q4tqEf1Pe2E56rWqOyMIaDCR5mbdRBD6WUzLtCyarl
YKp4u/ACL9K6P2I4RrYwlbC2hbKpGljfhf5A4srFSzCSBgOK1HnQto7BGnlK4y9CM45hMZ9mHUNh
j88GXmtDEp6yDChA5Bjm0EMwWlQq45oQea4yj92ylFK1tgRsVHWJ4We6vUs6+yYNqKcBpuM6nsNV
bebuelDKz7UOGFJXW8bOw8qsYWarOdvq+Kxl/ZVhwPjPzfaqFnxngr69rmMbp3HKR6MKJHQm9Xhb
hMs26Td1bRwdKyJYyyuVZS2ScptqhZ9WyqZJlOt0LNvjjKBuYcFpXvaufdFt/ehVGTzrSYyU+Zhy
9RSHlFHOTC/MriX8QYXEPQTYMdu7kU33WiTFMTSDD1ONhTFTXFzhhu1bnfpg1vUHOhDH17KEEroj
9i4ObwACH7Qx9+dwPFF5fWnwbOAOavkMW3sX1rG2mG3r0PXtOS7bWrkpAcrPL9OYYbjMietMqwcS
c2oMnSy5WWofi17GYnTec5mql85qvrjVtGyIa6vmcB0SQFS1A8JLZd2o+lWZRae4LPdj0p5w4V2T
QZv6KDr6TRb0QMQD63W2lR6X5mAQc9YHDsykQsy3uj0fw7pp4Tbi8g5jC9GiYfO8ZBFlzWZg175i
37EdZuO6sZ5bhYihvPfuCzCXqFmuGr2hMeis3QCEL6zm637Wt4GIUYpZ/Q03O6rxztdZZ7O6YVgU
1MG10XZERBrlIoXpW/bxxdGcZTCFtzPoy4XdkPwWAQNc6A37bTMnSNkLNQOLfxavjdTeMHQKt6CZ
pXM/Iop3yqyF0vPNKSqEhAXc4EWOetkdlSfHLF7LRv1CjCG81jJ7ID/xYGnIcca6Mn3QTszWm4CY
xqT65ELwOKBDOsYjm8JJVa/zEi80KxztTCg72dDOuFLn4aVvQbjm9ngxhqnaGYX4oJX5mh7/aYod
Wr967bV55GPoRztjtuZm7MPHAmiGnw4FM7ppI4LSV6vm2osRbYKkn1vWbFYdnOBzx35sp9sS4c3e
Uax7tw98nlks4a/dEbutbyLCMfy51qpVNSbjqlb048hlcO2U3sWa2u2YmXAkM5EDjUa3L/kDtBrU
RE7n817JWk5bE69P/TEio3bZTQwH7SxbASZ5Db3PMYultjMuKZ8J54CGygg9aJe513mn42UFKhqI
FNdf4MBAm4FQDSLZRHXtIPXLPIpE1B78ONdlR2FJe6YVnqJEByvex+LKVLRixS902lr6eJHzBi2v
oMaUseb3LsT+sXa5bJtwN9JNBgp4EFaFzJMkDe6D2s5knOQk2o1MKELMqEpU3+oxZFmWQsswsnu2
qxK/GrafUx3NjdKCSbAcSCx1fQxbq+FbU+EjHQ/Uu4xnjHrTo7Kx0uo0lNiRKm04h914UadyRWb9
tLZs56qsvS3KlOEumqd+PfT6S+rhi0AseZNHZGXNGcXVPx3W2+JFWmP+dYd1+/Ez7nvWLj+JqJeP
fFdOqTQxeCB+j8t9V05pKBl10/r2Nzzq2/ARMolhm6or2x5aKkmR/lZOkQNFtB7ULMsF/Ewx9reG
j+aPyxcEF1CbeHUW4Xnc33im9+WUkYgCUuk4nEfycZcm+ou1IaJkVRFPmztjx545bbkNWaZ4HpL8
qiKydGNTosEzjWN5OyShoHA16CX2CsUc4N2J4HnqEuWKYumjFejzCSLZy2DXDNAS+BJVFtwavWIf
CaOGCiKMel0xmjxRPK6SMHrokEIPaoGP3XP3XMt7s9Fe03F6GCKYymZKZGtDio6+9WIQ0l6SkyGX
k5+XZNz0oURlPtoAUImSoA/D+yVxzPvBVj6kQnkZhHSiE6GyHAdGgbAGv9TMQYH2KaeOfspHMD4t
Bu5/C+HZn6YI7zT+QG2ZAXNeCMgufj+VD1Fe3uh2CBqigVwwmf2y7juxConHDI9hvLMr48L86mhk
wcsMzncqrm2tGnyk4qcCLPI8Jo85aPyACWNUWHfCYnykJq9TKPfJmX7jyirJ7Un2E2GLIK0DTNDj
ae6zKFuPXUYihWfUfmNPt3nYWT6ME3OLwi5ZGlnUwOzugSyX5CYQCTUv2yDxVkpntz6sqm0asa/P
mY0ic08ulpbp9KKUi8kEBlmLCXWxSsgZTc36hHQ/sUxdrdqj8ryU7ZiRw1WqG8RdO/DRsd8Y5MWa
fWJt+8Cb0ociVJzwqLdz/pi0FnuyjDURH5+Yl6NhDwsxxsOqsNzX1ou2YyTOUdekS9DN0Fq7N3Jr
I6dAeVY6iu9pSPNiUwvWDOI06FeEirckI8CQnTigzKE85rMe36NjfGhA32wN2/uQxmO+tARw/8FM
dAbYPbu9yb3zimFnMDavmoByY0aY2WjavdIH3M/ZW6/GYC42YsCZkJtyvNvqxbktkL4gI18YrTiO
0VTe8Q1AR2s6BALX2XhdTIyF3X6o7siq+NRiKb1yUl0gJ4leKi3Cpm8Sext72knBjYHyl7txrlga
UN6u3zZ90Gz1xs5ua7smJKt0irtUn2BaanGEZrO6K93O7zobIjXJaWh4LKInsZv0gZJIDimSvnI6
DzLlTDGacZnL5DMr1geAjKShTQTF7rtJ/Uhw1bKOhgckUxUqVzLUypColND0JnomU9nBsxo+kAQ8
LIq5DvzY7YrNWJXp55TV2zbrBzKSa5ecw2jcCkSbq6ajufEbVJcQIsh4G2TaWxQa7tEV06ml80eg
oZCDUsZcmblo1sA2GOPqRXtU3Jk6WUthZVrjvPrnPPp6HjGD+9V5VPyfNWKAz3H7+WdHEg/+40ii
jafBd03UdraGN+/dkWT8ht6e/lpu9523sNdvRxKoXvBDcm30x6O+HUnMCgmJpzHXCC98W5X9jbHf
Xw8kxB+mzfhB/lCCEr8/kKxMVd0kaObz3D3WbrCQ3/t3H8xP1rLyJ/w5QZBWXpOfgVsUUBhswbcj
8Z1vkK+sXY2VoZ3ZICwauFwZeCnrixDbXz/P9+/kr88j55vvngcKSYWW3dLOFkWz1hwG5+tw+/P4
f8MXkkoykFnF+/2y3Fz+8p38oJYMtbrQZbT7WR8d4q3vHe8V7fLSUxiMihWSkGUrnqt+28fXHQBb
LX4BTBjCvylvugKFP0otaEtWiPSb0ADzpk9uBxqCEbLurz8KKRD95Sv9scyIlQAChvwsjBXIwkVd
PfYiXhKHex5ks0+PHk+vjqKD7E0xO8T/xlIrK6a/vAAN17Nc2wI9keTq978M8r+1TqjOdJ5EAp1N
85rskGIz6ZZTZdbV0sNl0e/YxOybkYVfP1w0kOlQAwmAEaoyL0kxj2hSGLqSiqXuB+7fzSbLISEb
+yFQqZF0JdHuRyNPNkbqJS6hvsR9J8mqsZtd1XOjFfVa6yYfjd0mms/Cjldk0S7khLq3500zetc5
27g5WQf9U4uylCYfI8LRAL/SAP8SiAZ0sl8YjCF8hJ+aVH4K76Sqa98GIjczzI0nbdlr/cFR8xUb
wql+ahPKD7AJ9VBcaZ15g6stGfONKPTyPreyRWXMxqr07jrT9jHoQQfAw2LFoemTV04MlpuT2pRm
z0hCFnmOfMKzglaihQ6//oq8+YH/vCyl9Pe7C9/84XIZYpQSAODms7oxtsFuPnSPxsbdNed2oR26
bb1sVq7vLae1sdw3e7xs/vis7JivbNSNfSRu7Cvt/V9eXfLi+fP1/PXy/WH9YGZZ7+TyK1umO7bh
xeA32DzWIHx+/cZ/9s18fzv64YbnxvmcRRHPo2Cauxu/1BIqtjR1H6bnr5/ph9np17f0/iJg7Pv+
IvB4/43hxfo5MpZsWUc0+sz0QMeB5lyGZ5YGv37Cn90BmfgitMbryx7nh19pbuej42SGfh6SlsLi
k1Cuf/0EP7sBvn+CHz47mgSIpqGun1vh9+hmB4W18L+D6vy7J/nhLuuNHj07xtSzJ67met/Zd7r9
4dfv42dH0vv38cPtceKsRghl6Wfc7hhTELrbTEFPHnaJtyf6T28/jvHnpmzL1+5t0/q5rKaGoMfu
6+L1jz+2fyxi/Y/dx+/+sHozjd/0L810eWn7jId+vfDkv/x//cvfVY138Mv++78+foG44sdt18Sf
O46XHxWPBtfnr8ujxYvc4v38kX/URsSBejb4HxyJcvHJFfLH9kPDkmhChHEwBb1Z0/9o1+3fpPtB
V3WJVDbkHvVbaWT/hrgIHRgtIv5BCVr+9kFcf73X8Bn+yzuS4Xx/T+Ie6emWBmcZrRDqJJz131/A
bT9ZFl4kBSttniwzFBmkpy+KzGa5wMJ+nTrTViFLcYnK9kbuUZYiZiUw1OnjMHWlj9Iefzu5aYjq
kiUODLKEhynw69od+OzbT6xKHwiE+1Cp9XFiGYgWz0WgkzUrk1S2oDLu8dBtci2neejwMusYikBp
fkZ4txSO3S4DQ73xVHzfgxsQzZM0j+rovI4mcppkqG5zPbmXiferOSXypFeQGude/WT2Ve+TP03M
nDKsk7Cq/LpUiKQjWEBTmO+mCo1nQLpT2xNKOEP09HE5ceYNVqL4wWh+qDKhTDfJIFyxBoQ3MBEt
pZcXb79a4YWQpl8P9y8yR29dSUOwkNZgne4O3p+xEtI2nEr/sDQSe+Qa59Ja3KvJlw6vcSBNx4G0
HxvdCeiz3pYOLmXMyYNHZijK61tHGpc1HMyJtDKPHhb9Cbz8si0F4cJtu6/V4lOtR0njF1lUqivi
kJhY2Lmp39RvO6XIsXzEgXdqhOvBoWTgZqbKacZTYZYPudxPVfNYHrjvTUvF8VaFg80lrHYFS61W
azc58cMZy67RCp5YoiHFT1mElUxu+8JUdxoBPIuI973CHgLe0C7ZR8uRIK/n0Q27eC9IjGJcyxLH
1QKWAoORnwNXvSOPCoNKxVCW8LorM487lPZDHT9gn9ezVZMRlbbSBvc469MNw08sDHZbM5Ih56mp
1NsQVGFQN8VihvRZh95aGfUtE5IbK3F2QTZvUtFvSUNtqY7Cu87Nz6MnNvqosytSBdN1fvOUq1Fi
9TsEUI+WU945JcF+dP65whLOaxgo9+FdVcyHZohvm7x/ijsCvka0Neybq6WNg20xx8ZmRHSzJiFH
X4/OdLCLUr3iV54s+j55SUZzIRpem4I4Ds+9DE/QwSbMzsaYrQ96Q1ZHoZJOhOKKUJxLbtXVbsJF
fjAU8zbuh0+F0q7y9q7pNW2JgeAmjBJWIGQGVvO+sbUH1UsGcHzJpo2bbTwl0HAN4xi36Ye8D7F2
Ova66nBQGnUF1DPEjKnYM9/Q4aMXaOVKzVEY2DO2JEYn5CXp9Pplq/ilNvq6a30yKtX2YVfczmF0
HjTzsW6GA9XFQ1ar2krVp3VdyCDUVDkFqrdJ8uLUk3xGIEHxSQTYQTANHrwQ0xWu4Kss459p3tXQ
9R1CgXznhv1BSDqhmc+sXA0De5CFsMcdMn2txQSR2rNS5JdIRSGyUOzwOYFdUFhoeBtLfSW3aZvG
4rn1BpwvYoVhdpMY7ocOrm3em8qyZPiBl4hYS2PbhNXT5KDN0uWEbjDtg6v3F1erGcWPOFGaxniK
+2Y3wBzMFBGAFTZvDDCijmPc6IUXL6dZHC0xECxiFZugaNyd11TbKHU2sZs+Muo/IOC6dwCEsiRi
exWZvl5lx6ior1K1f0xz87aJ+V3klfhs5tJR1hxjoTMrzftdOCE6SWKxzfT6qvb0C1+Sfdkz7Ysa
AhsCzLkOa5u+F0+5XkNVNrO1aFXOhYEUC+1KMUCi1oOyMydzq0IU6kjezedhO4AN9eb0MLKt7rL5
phMpYum8PhpGczVWfGVd5lN5m90TTfshhX5s1taua8yX1iTZvbR3kPMfRBvfWm57h/wnWwCBWwsr
wurpfkrVaqfl/YwPqdwFenMA87AvgLIzkhlgX6ZX8Vx8GDPjlnA/uhrEIRqB9suEjBqTJXpRVWcr
L69ix339/1KcbF7KE6P39n9RbcI5/evaZF9+rKE//qQ44aHvihMkGQBdpDDreyMHqg0L9DiDfBj1
aJOZ6Xwb3LjkMqnAyUlRUHXrraT5Vp1I1Yb2+w9703/9UIz8ujiRDdGfDRPFCQMgD24imwRYCoyK
vi9OACvmEK6n5jxBkObo0XuNlrlAd4stPSrOsUmbFjnRybaaDcIk66bG9USQgnoxAvOSNv1LiXdj
MY7RLhHiKnK0tTD6QwoTRhHzPiu0g1to/qzjCxXmiPnTOKikryyMPj8hclsHoXNoI2VdTsoNE9h7
ZyoeLTQAyKhfXNNdIIxC/FDs0r70I0Xh7I2MneVGD81E3I6p3hDJe+qn2BeeehrlxN+zRy63mWAD
bUnq771Vc9bzjlZZM3zy4u4YeHSgjfHBCLON6Lp9EdjrzvCuhFmfgig6eSU64tlk41edevDDRlkf
OV8eHdPaRpp28pjzKym6Ey05MTFaiZ6Jczv7kSqevbi9jqL+GA7TUpTuxhz6lZHZqEeB6XivbeNJ
CNDQL6O+38+e+zEA6Bvb5mOSiJ3Ser6w2ksUzhuFgL+8mpGqNrdTO2ElH+NzaDmkcQ6+ltj3Vptv
56m95G73qdBHhtXFCcXZQdj5Fj70Pm+mbV/DNgirV9atJwYs6Fa8nRGaFydyMNDCXO6cAgBwNhzT
3lEW2sRdMUg/GqV58Sp7GeHcWdBSn3ulO4S6lCCIXQOFt3WUS+KNO00NHtDiUGAaK5vEpEUdxaTT
cSBHgVov5Q0wdjMQ70M93mREnvtlbH90BPVoVY8bt7LYC4wVJ2IVET81fiJEyUOd04RqvWonbyDr
rnWbZIuqL9p1JZ77sznPMGYS0y6MDRhLjPYkBPlCLjfklqOs+0yGRVzSsqv2BSDsZSu3IlqGFGW0
ZuGLiVV+NuLd9BDl4ZCck4uu6SgBUQZTFmyTAuMsDgTo0HITUxCptdTkdiapHKxFcmPTy91NIGDt
tKxzYnOq0fbQ+QWGna5nufVhxINfiUUQJAsIOjaVYcKSKHanyp+T10FujzxFv1NYJ5Wu4TPmP8+6
tTZZN0ElGtjnU0Oxi5KCDTfpHhWKiOTYyJ0V/5btVYVz0mChFcvFVpk/DHLTVYm2WwRy+8XhBUO4
Mj+FIeR9Ve7IqrZGh296p7gRBBiMyRdPYbkhTAL9hNyypbr7Elbeh2LS72G4vfD6ydcq1RbNPTs6
o+JQj+TezioSmCopY0BRafiAGp/o5bNg2QdU4MEcJ5Tr6j5hGWiWUbwelX5Fs/oQz/rKy7P6NBH8
ss7lLlGXW8WS9WJRRSANYUSs9EgQp2ASyQYr7omIbz7lOv+ilDJBdMR44ERhsU7ScRco2SZRqRq8
WTzPJRSJrBvPsep8igQJ2aZoFs2IBIaWiD0TZ7QTZaA2GmWh1zpgoYwqzdA3Qak/dXXM+k2Xqawg
RMK+ZcAXP00hVmtPMT/HQZ2TY8Dusu8+KX3jtzrKyTFQ/boIHg02ScsJkMiMjn1pppKtouhLs0Pl
PTfVXURN7quJlLzZ/N7HIHgyMqgRAUIHvl/GGu4MJnlv4BKN0wm6BpdlM7gtL894zVV8yiIIpSeb
cWGKAmbI610czzavTezxkp7HHC7UhK/EzQ0EMyouUfFQqOq+G9wZBgSet5g01EVPNngaqbdD2F1Z
RXSnTQ7JEIntF02C1N8cDN8elUMMuQPta3rfRGghYroIP3OqrL+NorRYN0MbRkulJA1PoGtfKuBJ
dyZLxSgTJFyprrJRZwIeSY+IF0WbEwjf6/j7p5sqb4uFo43ZTYyN5Ous7D89KPlfWItQGvy6Fjl+
xOT7k0qEB/5RiUBugkxJU0fmCdrx9yskHVaExnACiB/aBpUq4Vsl4vxGRpQuI1KYwuMs5VF/ViLs
nZjKW/+hFRKxkS6uVodxja7+MOZs+6Gvc3sazmp53cDAn8gUfveh/D6Zeb954ZW+K3XkIBXwFIWO
JdUb4PB+mNfZg5MavdP359ZM9rHzoKhnz7ppza0WXA+CVnz16+fTfzDJ/vUZ5St6t0zSaWNjdtb9
OamA05FyAlVhakudqOCwbG+GpnT3ooM2Y6c4bFp7bSdTDU5oxIrV5Z2DsqKwP6D00ne2VJNNUlem
tSWRtG50sJCcFVJ7ViFCE0r66iFKk2jNUqrUHGhMMBcama6Mhs2QarZG6tpIDwy3JlK3Vmre8LYZ
GELjchNMY7GMpTbOkSq5YoY6jIb+VhnIhERI51LdERhKnmEsDgpSO4SlyPMCcpVrZHjmhKzNHm4C
7FgLQjy2ZaldC4R78MJ2hcq4JUXSVyLt6w3lvpFaP1F8EEj/RiSAQmoBta7dxIgDzcrdR1ItGOGA
WysVCsIgmo5l78y3TkfAF20piVa3ZR3ZW5s9UAIbcFvbkdLdzG+LoT5vxvKcse/omBnA5ZtJ5Gq7
2c97o6aZcg8kNx4VMz8wHdmN6YCNOTgpanqaZvsRAQMWF7brCzTS64aECiCVX8gBtHCNmcexMvdE
XPsirQ5dMKxI9d5NRnytElReBLUfj9MBncoBnVnpd3OuLkNruGqF+lgDDDNNJmB5Md9bGTubIJ+I
yOmL6yLtgCUNp3RO9yqUy8VY2azaO4C/9YgMGT81acRTtmoT577uMNImihqu9byCOdIPHVpMvYUt
VE8H4h8hTbj6VZZzvA9nM3IvbQ+zQIvAmEVRs9aqfB9k8XVfKLeDILuZ1nZRypjO2KNp7b44Ea2m
Zic4k4aV1+c9oknNh7fGtmm6IU6RiC32o/ZgboZGrFUz8DubwHlN9cuyvEWnfJ0Hdb0cRoYoXZaK
yzhFFxwfuwanoVu5T2ZaLEfHau4qVWHyGTevBYNCDB4bYC9kvrNJM8FNAQt+UYfwquhtfHI4HrmD
7fQcBbRhkLqpDLAbwmtk20fTSsAd5SBGrFXmFMt+DK7aligfix557jCJKyeQcb5O886N4mZidMZs
kIrPMIM1wpwHs2ml5YrgpZSpIvkP0zYdAI01GbIVCoKFMSn7tJ3v2mpAApV1VFHlbSJUn9KdrzV6
HbSF+kevTz4mjnss6wyyYwKSjWHHhFdsQOISCHf7dpv559AzWRj88tCT3oimn/966slH/nHqySZb
0yy0EbgZvg8g038zgFm7DPm/gXD/PPW4LZG06EH75Mx7H0CGNYIzBNS3Bu1Zkx7jv9GAswr67lTi
J2G8ImUZNIMlYwx+5BV6gVLi/Herc0FDghXKxlaro+7KxuIxxjy00hMu3VZHcJWlRG7PVrerLQ2a
rMoxkufDfsg6Y4FFAOCp2m9DQkNw9VnI1jgnyqJnjBxmq8RJPg1Bw0xd0A2LgmFU1oli5eSWC31w
8q6jOr+3Ggav9WAQppXOhymlsQs7ItHjxyAx7pDUF2dHjphLOWzu5dhZHbV4nzOJDkxQgSk5Xyjr
gXqjYmUH0K9DOAZ3BQpXqpKrpBqntToWhImMF0wHgNUQxWZKfRKoZEOz3lhSNivQz+ZOcwuohlv9
VB5bKbENO2OTqh65vqhvJynDLcNQrBwpzTXQ6MJKukUatY6keNczm0XbNPFOoOvVtMjhVjScRFgz
b51lZpHUAY/5ltQYzR/TPvKzRooG50vwph6WOmJHKoqzmLF4jsgYcNrek6rjBPnxjAw5kXrkWCqT
kRdvBqlVrqVqWZH6ZU0qmXvoBj3SZkNqnA3EzplUPTMlvdBHXsr2CwkZrw4/rpcq6VjqpSOt/Rgx
9kf9x9jeRFSdSHW1IXXWBvwLoitRBkgNto0Ym5TbC9KI8rrOtWMt9dqqVG7HUsNN2aZvcITdmVLf
nQrPdxF8V1L5ja+BIQK9oo0oXJU3ciiC6wC5eFt21wPy8Y7k2gw5eSl15ZoVP3pSaV5IzXkg1ece
MvQZOfpUT090nmvk/h9MqVfPDXHBmMDhgZSdZx5XI+J2IVXuyDYRNGjTdSIV8AFSeE9q4oXRfNKk
Sh6qjk7fRcETKbmzqh2SKlcTeTDI4gG3UyDRoFSnUCjkcsnyaXyrpJy3qsqoEGQAdcDI4A57YRlg
mZx1U41bmQw5WQYyzqB59kzmyuZUUP9UPAW9LT30thmmdtlbfMRuGGyUPJrvjaokE1tnwmRUzq1b
21edNr1kUZ36WmpdCGcLr+xZrOYc2FHEPMZLCnp8c6bbib4kc+UxrHC+sEkPqdXYkFjCI21Ja2+6
uuQjbo4BVYgPz7/alw4GFaCA4CjNFVRbCRxyWaGNE48gagwVQzitEy14zargOmum3jfzTqXZ7kEG
9ogOgjm7qvVCXc2qXW/DfvYVTaCYLfZDopPsGejPSUVraNtdd4hMRT0a6HpeVDVI70rVrLaZcCem
P1kEb/Cf04lGQgqvf3k6xS8Evf3kZOJRf5xMKhQ+En1ZQ1u/z3jfra05GBj/GrBxceHROHw7mbzf
HI4sBzsfK2qMvPzAb/2Y9xuDYnooh5pdN6XV7++cTH9VmbNPZ6KJaJ0Fuo6u7/vuZTaiPNLLWD0b
roraK5+Tla19KMMvOGiJuwbTAu0rltivGCDaYaj4/43unG3YYD2YGRtWWAYzDH7cUpUQsTaNngqS
s/AFX4zCPVYSN9Y6z5ok2WVwyGZ4ZJ3ltIioqNr0sL+vxuIOkRdbZ0/NlnWNl47kxWd8rD7JoVfW
hEUW8tkccceBhKabSr0k82MfWfhAJCwtneNtS2e5SOCoaaGzHSRYzSQEgrbjmU3a/Qx5DfjEE77m
HG2r/qoMBQu4/iFlLYxh11pDA1/PUNxij7qcd7apPOh/gwdQNe7shRHIJDwocB0TRbzKLlQ+8j3h
xDWtcBcT5Lh60EesbJOzIwQP7GFgXiVqhhx5ULZkLHBexE1AyO+0Kc1xp7/R6ezLUPUXUKjNfQa/
LpMgOxs5bwjZDpIIiBFQd5U6HkMJvxtCR1lZ8PA6gcp4hJBnQsqzPSDiNey8SfvSQtILIepNroWB
SkL2Zhf5sMTuZdjeMjh8hsNZ4Fna/Vug8qAC61MojjuJ75skyE8dp20C2c91h1UFBaRv+cxCCf8b
voIA0zcqYDd2QKECgAIbEBDWeEVs6bSYzUrtdqWLfbJzPHyUegfdqC7Vxlnh1SZyuG2NzvuYiXrA
7mfpnW+nZMUtRqxQ5jKHmepz9GHnwQ+EnNtj+1hzOpTG5yJq6gUmTN03TIWRol7yX4PqD3P72Q56
DElp/SqLsMUUYKyjH2QGxXwqtNKLM1fTlWM4JyXS3WWnV/wM1V6USvSUjeZz4Y6AJUdxy0kRMW0j
353N3Zekal/1aXyZO0p74WQPoW3yVWArrIqR/XerXzWFEq+SoTNWpiWuRx3Uh+GlWzNqnt3U6tYs
n7OVFbjPU4d/CShUAq9u+ELnJtUhw8g3p/P8Im5dsCReeMxC5RQ+Z8IvwnBfMLs1R86VnO8L7kXq
tSu7KDZJWd3AnI9AIo73lSRS2IB6syhYOCaNc6jajwHSkI3F/3G14TGc6xui6ZeTSQbn0D4XlsWm
YVLIr3OcOfb5UaPkBPoK7TUHCKN1JWoBa41sSQebNjSqL7grwl0aRVezXZwYdxIaV70CImDFywRW
XbMyaj7/c658PVcYS/2i6+k+8gvPPvbtT84WHvnubJFicNIz9G+p7+/OFiI+HFZr1pu4iV7p29mC
TckBEAnVzSGWg/CcP88Wh+x50HLAIziNHB3O7N84Wwzj+1ncW9dDYL1J24X6Cmn3D7M4xVWMtCGO
49wDYJ6PiV5ZyUkz1URfdV2eXTtxLYBXZ9bJquprHMKfTRm20JC6IDRsL4iZDrXePDPr2GdtcYnJ
aehkYIORBEeoecdqLEGhk+kQGiJEBJqSojU8zknxwoJuXJRCb4dlapc3FtkQWs6sLEKd2wcQFHWT
Vj/rkmPH0G6kS8QvIwrtE1LhBTKUMFsPoXAByThGE+/11O4AL2sKtZ+K/YiRWGUkNiMw1eDiE9XO
iZ18Uzve3s6IVrgzgo7SPsiHBLiaF0bmoUni9jkZgsLvhZHrpIYQ67Hs+uTKaQsbyZhntcQiNxbm
mrdlWFo4Yl7Vb0uy/G1hxu3iU29jqhqy4tGRWzUMWRv3bc/Gwq0KysB35A4ukds4PCjHWO7n9LbD
a8nKrp5BcUYs8coAmRRLPaWZdx1LPuHky0IMO4pmH6zpYRwsJJU2PifWg02mX6b2f9g7j+Y2kjQN
/5WOuZeivDnMRiw8DegpUrpUgEblva9fv0/SdJMi1NPd4AEbMZjDzIhkAshK85nXBJuc44IuoTTJ
6mbdiI6iRWsRA90c7X3lom2kA8TW5hTHTmyakapWThKpWwE9OexoVno0LT0nPUloYjZZeSfT1HTo
06g0OSOnnfk0PV3FOzVBQU2KOL+MaYtaaTCLc3nZ0S4ta7Rzey4N2qiJZaJtYW8cuzqMRZ+VfogK
VPZHChBHpxGr0ZDtRGM2p6kHn9ulYYuE5reSBq6FpW5OQzel4T1mCe7BA9Dp8QT76FVFA3iEvNTS
ENZB4PAsp3nYLRwaxiECohUN5FEzFg0N5dAIl9TvvqtGuCBGWOdafedldKDFo/cs5wp23DRIlKVN
q1oRHTviG1rNSIIU4Ulpgi0j9ahH6dqg2R1z+tOFzWZ5lBxUtMNtrE4d2uNkZdM2jW+war3OZB8s
jLRwc+NYo62u0l6XQ3TAzEE57mi8IwBS4xWtzCJa8i6teSoc09Knr0vLXgr6o44WflZRGLCH8rG0
1IvW6S9K0e13vdY4p1i3DMwOJICrrwdDTU7LGOHGBJFTuHxqpoEeaJkvoy9OMbQ87hSWVOPoBzEJ
4bQQnPUc8voAiZ1LnRRGO7Ygt/eC5d5zq7ZxbM00CPCYgrD8YMTnOdLFBRx5SXO/j2W87gR73k6a
qwg6vSZp1iQSDHtVcO2VJ9a94N9LPqSqvJVS+ojK2tX1C12w9an2ooQqGPxt6JyFUPorHUyl4Pjn
fiTB5bXCRdEr6xohAOjyUwNhALlD5J/VwdNS0UJyhHwAtehpiqAA3jXoZw0VdVbQPG50rCE9oCBB
kJjFSS40Cboiuc+FSoE6ShQe0S0IhYIBQeO5EdsHmdA2KIXKQSr0DlyhfCARWWZCC0H1Der3yCMk
QYxOAoIJBEC3tVBQwDiAwCwZTxrR0UZkwRRqC5INOT5HvrUXDMs0bC9MpBlqpC8RnVrZUhMvgFHk
FHO6NSoiRC1C2QG7L3gUOWoPqtB9wJK9WITNcJwJTQhTC06jqLhuzQYsgN9feSbmDz56jalQOLaj
U4wxlCmVIxrRZYhxBuoTEDwdKJwoUqDdFR/5hhn9t8337NJl0PT69d2PKAdY6OHjxS/+7PeLX/0C
EUsWBnQicbS5WH+/+LUv5ls9xZdbX1e+0BfDVlCBOcNNbb/LKPl3eFdgHahTQjL7O7e+9dTDewc2
gsTj2PgkOvwXH4V3etsPA2PYm0VRJWepkuv6ulKF+fzQBKQzFNc7bOn7viVlotN8j1zH9zEb/SU2
W5e6RNNcs+6GFnuSvPFWJXIpRR6kk9o2YqAC1olcK6gAhmA/shz4iZtxcRje4C/U3KR9kXsnkuRG
AuVQTzmuT6uhfpCE9YrhdA86N9jcz6gCOdi2ZHZw1OuEA5oTriXij1LOjFnmayNNdbOd1dRbIBCX
ABKQpC6b8q4N6sWYREieq/ad1CsLv6sV8BXeyrLqkxTJkEkUEXEbRfcN+47ruB7iaRgpl5pR33qU
B5aOjQ6IArP81MODca4rDneCEZVzZfA2ROLZkpSY/jyszQAuSKYXMRGLekl7q5ggeXveq/JhIhuP
ep0stRLHbj04ooCF/wwSlD3doNKp+W1nlcjlbYO5TNbTU0kj7zarzFsnvNM6ZCN07b5ynPtSrU7L
Mbgxsv4+0u1kBl1kRCfHPIMtjuyG0a0SP5DwWIP/MkpI86P1clkF2gk6WCcjEjLTUEbqfFDR9zcK
OzkIFQz/DEV4b8j6mWR0VKxwHZsYErVZr1eOQt/0lqHUmIvCA81ZNPLcrvprs5IO1Q6SFDrWh3bW
hlzuyWk+6JCKogKmUZ6qy6EWsU6YzcqgQVAH9dhlZPnlLJSRMDRbt58bjYpIZsxPrUEFpNp9dW1r
EQfNmSk3tJxToGSSUyxLnbaUqpLCR9GBiqcLNgadN8HXBKU9uTyABozxhyq5S4RL3WkHShzvhROf
R8FvlnchhGtgJmedJx94odVPTTVc6iGsrVpfOUqfYk9gXtdhMZET7yvl1kfsbCWqFISuRmMKOIXD
FdeMt2kIlthTEeuz8hupwSw3rrpryQFZxJ9SgqZsPtfa6HKQVKDhqok4kZL9SCoaWEGWr/XBOY10
4Dr10KsTO+uOG4LXeW/TGLW6BOOfsLSpLgdAyoX3Qd1wy0BH3tQuJGOqwiiDlEDitSi8aaKZFQfX
lLBjVmBgzdlrM11vCa5qq15iv5UipghKt1dUd6qBzR7ybq3jazJLwkCbjZJ0Tp3ap5xbEGSpyUmQ
InlKTchEsRhZyN4bqclnmwjxaLHWLnXtUBp+RDKFG8mDw25Vc23ow5nvW3MbWD1Qxh9AJ9ENsvQf
5Sh/cyrnWO7ik3wY0J1BTo5+nz83B7LXISku/KbaxDocxmA4sLPxUG8csMhoPqH1ARgMLXbUOYcf
alV+96TmqMvq8ziX1nUbRhj91LMx6teag8KPIiNsDesAf8GGjmzj+O20rOsfuZQk1LA60bixNgEO
oBBmEXzMpAjToR6AZGdD625A4MCwtxGvQq5KcTDIG2CotbF5X6MgQc9VDWYcyEeVVPZLr2qahT+2
hzUsiqlaehem32/CwECPQY8AHxcVdjQeV3ClFysTO2Lgd2QOfn9ZGwUGFRSl457yNPg3wu/UKNl0
GVvCNtcxpnzzrHdPslhDCadxeyw5vEv84k6z3Ll0XH2l9YM9NVMH9dUhvnBziu+wVxdebce3IIAQ
kuhAApBLonAgNrYR3limVpP0dNGCYxUAperf9WlmTho9wPYoPeRAvxj0rF0V4E6BUDXnud6qk8Aw
wD3a9tKXA6iblYafkokptZ0e+q6pT6MiBiPangeGnuIeiGVCoAFszEpCdS/mb9v20jBDezWmzR26
Uc3EQTFggkivD6u/kDBxkn44usJ94ZfB0nakc0QA7kyNvV3E2CUSpElTGvLeJEVR4EQuHGzDsuJW
sRN3WtvAVZMB4w0NKufEB1KLh4G6NPJUXoR4ZS3iOrtrnOAmy1lIJHILfO3LCdQKIZWJymqnaVAv
ehr2mJYxp21gHsBTQAxWp50DTo9NA62z0dtrf4jOO+5EvPFAuwVGFU4My/AAyw8sN1v4XYb8G9QO
RHilEZigHq7himaIb1nd1JORA5Ai0KEQVoH8PRiZcQY357FHgQcx0fCWJgCRaQnczGzSY0UjWLUM
RP1suZ9YVrqSFeWgjvOSPonazCPKjLc0suODaiyuNZWNH6fajQRYsQ7qh66IF44bXnPZy0eBCbaL
+/+gCrxTMvgrAPErTaq6CZj6XmQwDYVHLCxpz1gpiNas1UGy0aGfQeC6D/pMmiUl3N0iy8fFkNkX
ipsUc8PwwZSNtA3zHPvCNm7cA7kcNqbEYqj9Vl1EkX3VpxYcZFc6DDxvUwIe8iIqgX2YAwjN+Hsr
P8si2vSZI3sYQRn3ObQRkrXgmy4D/AsL80xuzK8Z2uxuLoxLPO1HKHcWZyyUAVUt/bndp/7CtAjH
axOlZzkbWH4hQrJKMOCCMSrfzKo9QeEtmANDQStW4tT2B+p+oUU6Z0rhRk7VNfA9f1oHbojAWH4U
tHgzgBNcDiOYzkYTyqxytAq9up8GNhBIWVQHCxVPjCws47np2A84YaElYnvlAnk1eZolbTvLZFCD
EcbAg2TeJDCnqcu6xjQppCu/7K5Lh2wmDZxp1sWUbRX0jRq7nnrIz1Lw8C9rE2Qr0fxB4zXVNJGd
az1tzrwYrhSSWuQ0uQTi1GQ/adhL9Z4Uz9A5O5CInNiQoTxFoPMux820B0HpMVtcIQAyTEzNxiJ4
7CgsS7n5w5SlK4mG2MxKRFfSiVCcp59Iw/u+Hcojh5t8MljGPdKTy8IGZZl6Cj5xGqYqY6tPezO6
8ZIEVGRfqlObrCSUkoXn3uFpeUxggLENSicTpQkPc4H+zpsQIfcAykRR8jM7+uZJqIVRe7lSSlA1
wLIurAS0jwqtQne6m56YC4D5SJs2z9J5UWvedDAaEDtRwddBPgfrnBJydaZjP5Kd2fZAzd8qUI7u
uh94teHTggXm3Iu0Bco0t3nL1vVL5Tz2UpEsamvNDGrBrSknaLBdmgHPyLAUjfCy55wu03WvlwAs
TZxP7Po+TGhNUie5KXpUVJNGvh4xz+uH+IpWRzLrKo5US0a5lC613aXaxKlBh2dxc5xX5SKVMQug
mkLimsvIjpjhoyOg2a1J47NPH8ekBIKOpL5HtUdV09sAzHlthdd5S7OhIsqzIo4+v2Bl+k5nocMY
8CEbayn35Q/TJ6Szsv6blhDztSE5chzeUv45cF13Bkx0Q2PkLqybU10vDmGfKTMv6ReAprkpNXSO
CwtfVWXeG9guuEV22Vc4CujOgUOhq8BPvYbkRqN/mAwa9Ww3noNaPgbYdYDg0TQ25BZIaagM08Kz
1Og8TkfzdgBebp8UEoTL89io83Y2CHEvI5cO/1t/fqo/GxR9/yQHbRAjfdySgvJXryko1iWODXMW
/VDSPUMjO31NQRU8yeC02FiFCTaugNW81p6FibQwUJcNtB7AgfKj176m8QXbaQWpAYCrGs1A5e9k
oR+l+3ljh1Iyn0HRFbJRgch5g8qk2igXaZI1J2OcBVRLmu8wSXwStBqzpjaeDWV8YyguTLTMXQel
3c0MpaumZdqeJVV2YAHZIYZToS/iE4qj05HfcANbY4erWHApy9FDS5AIOrrlWpEAfbmdus5GQllX
Nj0MpwXWR77pRvO7Wum3ToGniO07+sIViHBHGhexLkk4i/p0skCqW54E6DsPvyJH+j0fsuvWJ7XK
amTlXdP8WiLGmwIWqh3pBkfNI9+0TgHHrdvIP6bv9r3KbMJexzorNeM+djw8hvligEgCc0mj7LBR
sm/JIA9zPdTA1ODpOS3ibmU73fWg5uUcfeWFroOgU0Ms1vQuiGly2g+FD5rejs3jqo6vOlLcqQ35
0ojsC6zHHorKOaPxh35GQQoie2E9d7vuxM7bW0ya7hF//+YWKABk6T3lDHBzUenNm7SzVpWVnMFA
WOEFMNFD7ztu9O08j+181pkR2uR5dt8pzpo+az1LBuCR+ZOHNEy/BT2DcgoZ67iuItzC3GNiw9kY
5CWxRLeQyw6bAmflqcYFHMMfgR4+ohVxpQXeEgrIbeKNQPQtPiQPyZFLeqodXGxVJllT+8I8N9tq
7Tv9D8qx2YzyPjKjrjxtSmQSAOjf6J5xodfwsu0gutI99Uejmu3BEIg/N4jjda25TaRmVWU+fQHD
JPbAQhWf63BJW+0bcF0srfMGOIkhg/FH+55utzGRddpuY7SQrZz+oC0vi9rHFDXK6b/lPLWkVrup
apgUQQLwNbhxmnDCl25FaEH0dEhZgv4HdceJ0Y0XVmwsu5QiNVfZVB9dkejCG5DrHvDLWIWzuGHF
GRaaDPbIIh4qnmGi5t68K8fLzCt519Tmxm0XrtxcjrZ2GHQoXlpqDEa1cL2ZF4Nxapvovs76W5uC
1sQy8ztZyUqE29xp2fWogMoBuN0SHJnkr2Qs7GaSBR5UlrOlOcj4eKGlUckSDp9+N8BptR+TsDgm
c8W3rArzOaWMA9MbhpnaAGHjUrnOCuxkhVwoqzGhblnfVQ0Gu3KpYMk2Ih1K5Uk90tMonfXQ7byD
WHV8bRZF3Y1qR2U7L6XKD74yDW59qtYWsFczMLSFiZVYemWR32Qzvc5HLtgyrvwpeYF1RlEqMM+G
IvDPtKL3vgVNPq9iltBE93X3JK8qCiQmSTK9XJkarG853qVfyKQjjtGfy7F0iCprgIqZ1WoGwX08
znobCvYB3BmX1CHo62AKZjDGvXbA/6+LkXY1+2KJTYV6G3WyHKzjNBfEpNgHx2Za97IHI5rG1lDS
4wbK5UCginSjmFM1srwrubbi6pvqth43tDbScCARM93vkRH4+lqGKi1NsFNr8v+WbF9KttqfX5eE
Wkm67cLk736/MB0hOKFAAcVQxkZx+48LU5W/IGyBODf92p8uTBsbAA3ojaKa4pIVOlOvFybaXvwD
lybKXiSUfw8IZP4EURU0Bh3bHI0WnaPrwlnn/YWptAbLAqjp6Wj4hxqOEXqb0WZgL41pmMFRpm4V
uvFaz2Pyfg1idKMsg7w+9Wn84X8xg9Z0nioS2Y1y2FX5Jmr0b26FwHZar/tRofmnr0YfMEEkZcPU
t7xvcBPOWwSm5maSYP5rmlPdH4qJG7MyR/bBUTIgPxtHXBJ2Uqc3meYfNU1mH6dacmb7XBQOid5k
xGoX9+87UzIWmquc+RS/8pLGCgie205pgXmk5qlNrYSjBHBPBJPwtDGzBzPLyLt7asWjb1GkaiPl
wBjs47q2DjQ3uaIY9Tjo47rSnbvYra66oc1AhnrLzGwQ5+KcyFrz1Misw7jGWsvxjWtNkmZjVn/v
fHNRtRykpUIO3jn2GcAMekjQSbvoJOzwBpEUl5gVQGloxcDySunGESLhGe4oshEe4/aCISWoFeAk
3P1YQ5OejBSdTSdZSKHzvecOxYXhWG/s7CQvzoHILBKy0sFCj9FwFo3WXwyAjLC+DGjcKBtNQeM8
lm5b3b1B4nRhNlQDHSQX8DJJ7oIBIBbt7FkCeglcYngyYJUAXLE5l3uXMk5kJl8L/QBIKupZte3R
hi+s9sSTYfd2mJHQo+6mQ9Ne+uC1+N+ohJpVPKuL9GvDx3AL+JVRQE6LOOTSCGTmxlZogw2IdvMc
wlDihJPteJYNNsZng3YR2NlR17kPqIBhV22aV3pmXkgA6qYoZh47CQFOY1j+1M+pkwelfyFhLm2g
PA1rhlJVX4RXyKfdA2zDNC5BZzd6CNPyq+cQgZmqQR2FL7XKXaUD8sMtifmMNwU0sdB0AdW1XHRc
gghaQDMbEV4zxmgJWmoVqVo8T5t+mKtV8wgOIZ/pJsxALu/bLEvmjpLHQtjBJ8SifgbYE6hPr8BB
qIBmS3RkJ2NPRmniDr8G2HxdjBGFt4YClUzGmAUScsu9bcNjSZtJXGZHMrSNYyWJFo1d3QamdQz7
6QLb9GBqBU4ylZRxXCYpBbHULelVD6SIAIq/52lxabc8eKPzMIsfT+TGfXBbSZlprQH1175osHHr
NGDZiuseWER8E4NFj8qbveixlaJ4SqdE9aJqkndEYWEBz1Yahw3q+tWU4isVK2Z0UkvlYd1KMzlC
amQAEKCIbinJwRIqaDIfogtQFYoviITeuJGiYVO35pXXt1dRjMZnb5/BJIdB4Y0U1lTKIVogfR1s
2g51bM39sV74Q2seBkFBJCjipcaA2ZpKw4bnOhzqlTHP8lxH7ALGjirpj2pf4TUrrXu5TueQcdM5
DkUbOsirIa9x6TPR+pYtcFNDZ1mToaRmpRbdZWJ1GczQWlm6qkdUiATwtGvjdNY1rED+/YcaEyoN
RuzSlKagZMfSBU2MxyphSehmEpCoW9d5WZxUMVQuVIke81w+tZDOqUJKiyiy6HMCYHVhKpgYymN5
7Crysk91njYzflSkfOkI271pU6ffdMRWFxSX05kX2CgGtdQ30CZcuYj2rDIFv1sTTpfD0Ug5alHA
RqWBq6/H2j+tYg3rEFh/syHQLtEH7oDegyGv5GVY6lf5yFmZKZeKV6jTbIQQIGfWxvNy3D984C56
MOsCAHKG3FyjcqJMAWMW2AHTmikNFnVUud9ac/xW1pTdK91bebGESZXSCNp7NNHr5jK3UTMqI56v
JmG/QLtq2oFWnngJHZQSMBqnfOY7pxx0S6/w0WLXqysYw18jtb4pC8jScdTc6A5mVIraKRTMVbBn
VdiigeobUwxnBMOugLquaAdlFV6mprYccxAUbqR86yLK/g4eWEbshFPbiQS+3iSwU7+25nlXHY7u
bUfzzNfOacJM6Hp9pcp0HWgJjyatl4jPnKg5zcI8VqqVHJqPCgf9XEEKkLouW5tu5UoyKJxY5hhA
RgpAyOr6LHO64yqPgVWoK6uPOX6DYT4OyiWc9yM/G8YJJKMbq6ZFIBf1YVGfCJxNbUCd8yzvDIId
iBesoZcqjpZTHAhulGFc4qsRHtNpURaI/a4dbC4XuBpEC63uw8lIRxGmFmVowxXagt6hQaNxWpm2
AMxmHv0HBKPUld5nj2ja+esurSd6TrnLsG7CLOmWKPQCWamLcThRKM5P/YrnjA2YufJsvL8CV3BB
qkO3Hp1TBcrJqTxKmHuBKzpASeUkLn3b3jT6MCzHHvUiP7eLOZdHuCDtXSSGsgb5dcBpdGiScEe2
TnOxpm0klbr2NbByToi2oP9WSSuqUCdgWr1V6suP2iA/ImN9x5WDzwT6toNM7di2KErKfHU+Y6Up
2QyT3vs+wBXY8HzM2kIVyy1EF1PPvPX7pF0OCubEXeHPC1iVFHnHhdlKhNyWeeQJeNFdLR8qunsR
udZKkjoVxhfJdd7jIdckyjSK5Wumn1tciR/Ryz9sVc9a5MCsyspchja2Y4Zm4QPey6RSpSxkoiFE
K0V3m9Y9ba/40tCHmRkb1whqkUmENE/G6KDTzUUZ4LTAPqGF1KNAmaOcpN9zuJ7VTpdO0YtGD8gs
LiDZLDjglGWnQzV3FCwafJAn1qisUrNWhdL2qeWAUY1cHwq+Ew3zsge0zLkf48E0+qC40T7qIeLn
JhLTQaZuRlSUcazolhb1wIlimycEubdlmR/3VmxRbpbmCqLORmd/42qhr6NelEV7xM5dgRyUIRD5
1zmuA9D6wOwoXLWRchy49ZEbZzdGrtxi9sIdkVo3ldqvM7IfZDocusmIrwK38r5SjkiRUIoPxuCw
1Ms1fZlF3qm0PgL73Ddy7mjJvG7ydj32SHCnwV2s4w8e0Z6stOG47e1mNZQDddbeXCcKvqpmwkEo
+UvZCGiSGfoqykCsy+NRU2oa/EyQPCbMz7BLkjPNpddNk0uaSF2pzlofZB8KH8IKRaWbnaTDNK8s
fW6P5arSVbrOcnhndcQwdt+cWTmeAE7ZZku8XKvjpICBW2jdEW41NoeSu4xiV1o6T/A/9QkKCBQI
WKBZS4emQArifnvgPIEH4ycg4fgEKvz/Ur18oTVuVRT8XblG/PTJn/Uq+yA7+Jd+6RWbun2gFxnC
LRKFbwubBjXKn3K7p8/0pI/4Z0PEGzpfzQPyh5r1RcWg2QTugoItLzKnOEu9lx9LCvVQ8j4V6I0C
95TX28e4/cN/VGb81Uz900kQpdwnJciDh3//6znL1dG+fFcU/iszwThvpsJmKsD6IuO1fSrwqZJ1
9Ebll/d6s1D+2Rf8KxP168e4ZRJEIXvHScCf25YNUDzPc/BxPVhf0I+UVXSi9nQlyGC2dpwEB0My
NLxNhcKCeIl18nZTiJUg2xpYc0oavNf+rQSh0bvbJOgyPQ0TlJ7Kznr/7fUvCqYZaG5QvtnjI0E8
tt3mQKMZhMEzivbwrMWLls/7qYC6zfGJLsnzztu3hSA+9s6TYH2B/8DDNrWnORDqsO8nQf2CHArU
i+f53rc5YA/vfDeAQLUMen8q3bin14c50Dky0Og11b2dhJ1PBM0Whgzocv1qNxArWLwQZHk+gvdw
Jex+QaJ7yFIHJct3fL8NODCpr8FCfQ6l9vNEYDf83A/4J5ES3QCV+j3N8K33Iz0BW9ygexspqbsH
CSJcFB3/lxPhw7HIbgCGazvoeu9pkCA/Ry9/KKj/k5UgiyNR06znc/HDBakKVp4NPoif7GWkJP8s
ovpPJgG1LsjcL/ejuHI/nAwC0EEd7mm77OvJoO2+HtQvFjAY9OR/XghAbhRUZBRUAZ5Xyp4uB3X3
eMnGmdgSj/slpea8fb8cFEiswIQgmez1VAjK647xM5ApWsMGaj6/f9V3UyEiBhv5IlvZ10Tq5fDe
5YwkiRAKhGiP/bwQOBzBoSFfsa9Bo7J7vMSJwGlgiPX+9Pp5NyjGF4MVYiBztdeHo7L7PaF/QdFI
1Wz95Qj8cEYSUoCY0IVul3jt6z0hbLh2Phgg17MtkHR4PQPfHww2W8MxYQfua9yg7B5Bml/QTydz
fl0PP8cNovbKzyguPK+9/cunlN1zCYN64lOF5aXiyKJ/vxIc4UzrYGO0t5PwGfck+RTXgPVScPx5
EgBZAW/CBUi4Ku5lGP1yge92T1JB4egjg356ccq8WwlUXcFYK0hLPddz9m87CLT4jgejgYkm7D8H
zZGn15aVYLJTqDju7UrYvdomf9EpMtmO+jwHomLxfiVQX+DHQiRmT7fDB5fvf5JV4oiK2DWFlKcX
X/X9JChfdEf8h9NTvPY2Wtg9o4KuIWTeDJzTnl4/B06cDOBLWQ2iQL+Xx6O286agU4v4KgIHlJSe
Xz+vB3QVVPyP8G/f00kQ7qg7Ho8W1jI61yQY5NdF/25TEDI5Jiq1SLS/TtJ+rofdo0e6cPQgKai8
XJc/H5JUXEBDy5Qi9nU5PJ9Yu4UMikggUAbZvhxUjbYMjG7ci/Z0EvTnD7bLJAiY/ZPk2Us1/ueF
wOlIUc7U2Tl7OgkvTbNdJgFYgox89u/l+A9XBDEFagWk1vt9W+q735ZwNTRVpT3zUnT7MBU4jgqk
i+7saxyt7pxW0rDVnScCJfQS8eKrvrsoyKjQraWT+ZLC7l8y8YIt2WFTiK418rzkE6+diZ8nQYWG
Q/WN3HJPT4YPCvt/P47GRdfSYdMKopF4fdgOgHno08ny/m6H3fsy5hekNgWy7Vd3BGcCVwQUqn0t
RYvq+Y7BI+VVhEF1DsbnaGHLRQmkCbSPvbeTsHu0QFcakQdbk19KTR8mge4U5QdOxr29HZ6TvB0O
Rk2jKUGDzjZ/gesidkZ7lhNhb7NqLL933Q7ECZRZaEz9CsUhfElQcudU2NPbQQi+73gmkC+iLUjv
/iVY+lBlkb9QZ0KJ4aU5vn9xwgdJxr99RQqoJ+V1CiwvV+SHSaDyyrGI0tK+Fpm05yW6y5kgXHMI
iynDP8cJBOLvI0ZCSlmVgcTu68Go7X47UGljGeh4M/ziilS4Q+lYOc7z9bG362H3NOqp1GRhN/iy
HrZsCvBd1B9QexGn0P6dDB8MQP72ySAA0KasAf59zpq3VeL5oUzavd/rQbhG73hT6KK8KmrMv8ay
oGym6ZySzwfIvq6K3ctuFFtAKdCneylFf0iplC+UqRWCyH2F9QhrzR3XAxIWOgL6hvmrdiWBNAYC
QCOf32sPz4edL00iB8De4Pq0X8WQGNihtIVa1r5emsbOJwOTAHjJBNvzi5OBAixQaOIGnGjFa1/v
iw/Can//vgDSoqH3QjHlOX7gq74LogQoGjcp8H77mlO8fLBdIkmhLieEaKhAPr1+ngRqj1ypioKg
w57eEUL3fMfjEUIMcYEm/woZ/rQSAAWaLzDT/TsehcrQjpMAY8YC4kbu9NM+UCnNWgD9INL99SXw
F6bod+7x1A/ihydqcvBYPRGCn9mm//EXXjm5Hwd4w7l9Yh6/+01BVX4e+5mZK/7//2we8NucBVVd
Bve1+hQhv/npa8T89E4vf//yFT+++bs3e/1er/+4wstuU977w9MPhpcPerJJYDj/b8x/PWx+ZgyL
ws/rv22hWb9FOP756Ej4P74O9AcdWeZW+eOr/vtf72fizbr608GTzUNWvg70ZnDWzM6DT3B52fbB
+eY7jz3dxJuWR1K9jvXms3Pk7T4+mmXVh0dKBsKx9QmDp3WJb29W1dvegp2881vMHuPfTrJy6/wT
J+08/jz+bZaVLJ7Xsd7MP2nszuMvyscq3TY4ke7Ogy/jxzR9HefNB/+M7bpqkrssfqg/Di8I0zt/
9IMkfyyDTfw61B+fXgDpdx8exffXYd4M/Rk79uix3DLnoje686c+ClJvy0Eg8NM7j328ibacYQKL
+glDV9Xjtjn5jA16nFW//W/qPcaP22bmM7boevPAAfw6D29Wy2ds0fUGo58tY3/GFhVjI0215aML
+NjOj3X9mD5k98G200tw+D9h/PL+8eF1oD/mXUBcdh8847O/jvNm7M/Yputs65x8xi5l6PqxfBy2
fPLP2Kknm3zbavmMfXry2G4+xo6GLLgIOz/N03LDEfA60JvH+Rlb9Cze3D9uiR0FbHznT36Gmta2
4E7043Ye/CIgdKyChy0zI/Rtdh7/cnNfkhKk9Za7VMC2P+EN0t8mj+hGb3uDz9iqlxvxBmW6KR+2
HmTaZ2xa8Saz4NHb9iU+Y9eK8RfsgPugut/2Hp+xfcV7HGabotl2W4lu2ac86+MmqH47vQuqfNv3
+IzNLL7HelM/bhv/M/Yz49eb3yab8m6zLWYQzZPPmCneY4o5w5bDWrTQPusdymZ8HeyPM1XgyHZ/
A3+zNSfUP2VTU8PYOjWfspmDKsKUr3mdhDcT8yl7OYs326IH0SnffdYJTJJta+ZT9u9/cqt+kpnb
oUB0KcosW+5hgfPdeWquHv3NtqkRPY3dB/9TM89d5+Xqz2xadh/8T0Xtdx3+K3PbbNuromy+87x/
y+It57woRu8+dHO3ZSMJKNl/GHpbWfZ3xMPHYu2rsOG2P3tfixa/cR8/bsr/+T8AAAD//w==</cx:binary>
              </cx:geoCache>
            </cx:geography>
          </cx:layoutPr>
          <cx:valueColors>
            <cx:minColor>
              <a:schemeClr val="accent4">
                <a:lumMod val="20000"/>
                <a:lumOff val="80000"/>
              </a:schemeClr>
            </cx:minColor>
            <cx:maxColor>
              <a:schemeClr val="accent5">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57778E70-F3DB-4E00-B4C9-A4FC8BCF6321}">
          <cx:tx>
            <cx:txData>
              <cx:f>_xlchart.v5.6</cx:f>
              <cx:v>Amount</cx:v>
            </cx:txData>
          </cx:tx>
          <cx:spPr>
            <a:ln>
              <a:noFill/>
            </a:ln>
          </cx:spPr>
          <cx:dataId val="0"/>
          <cx:layoutPr>
            <cx:geography cultureLanguage="en-US" cultureRegion="IN" attribution="Powered by Bing">
              <cx:geoCache provider="{E9337A44-BEBE-4D9F-B70C-5C5E7DAFC167}">
                <cx:binary>7F3ZcttIsv0Vh58v1LUAKNTE9EQ0AJKiVtuy3e1+QdCSjH3f8fX3QJI9Ikh5oAjzYXgv3R0dbiLB
BE5VVubJrKx/3nb/uI3uN8WbLo6S8h+33e9vvarK/vHbb+Wtdx9vypPYvy3SMv1Wndym8W/pt2/+
7f1vd8Wm9RP3N0ao+tuttymq++7tv/6Ju7n36UV6u6n8NHlf3xf9h/uyjqryJ9/t/erN5i72E9sv
q8K/rejvb61N5H9Li8TfvN3+jj18t2nui035xkrrpOrfvrlPKr/qP/bZ/e9vt+7E3r75bfqDO8q9
iaB/Vd9BmBsnVOqMMiHIwwc3iNLEffpaoYyc6AaRjKv695+92sSQhMLzlXpQaXN3V9yXJR7v4b/7
brH1LLjgjzkv43Z8KSMSLkD5/e2nxK/u797cVJvqvnz7xi/Th7dW9FY6PvGnm4dX9Ns2lv/65+R/
4KVN/s8zuKdv+D99tY3of0D7ZpNUmzdWUQ8HgFs/kUKlKqG6fPgYU7jZCWGGQYicwP06rfbjvece
MwDfI3VkiK+TPj0I1gZhGiNCfcRaTrCm49yXum4YGAWPFuVxas/VZz/KW9Iz8N26/siQ/SOCrbzD
bP7ldlucGEQ1mKHzR3DFBFzGTphgqtBh0J9j+wqN9sM7vcEMhKciRwaylUZ1eQiM5QkbV16dai+s
zTDWxOC6VLVtkOdrtB/jifwMiCcSR4bwH1HmJ/cHmMXGiS65BoCfTPR0OabyROCjaULdRni+RvsR
nsjPQHgicWQIX6bJIZZg44QBO0M3nlbgqZUGvgzulhQEi/NzMz1Xn/3obknPwHbr+iND9o94c5cW
B5m7HMsrvGVMzWnIJARjkhP5YLfpNrTzFdoP7kR+BrwTiSMD+F1UI44/AMDyRHJdaIzDSx4/08mL
0FiqhtRgwbcRnq/RfoQn8jMQnkgcGcLnoGIOAbB+wsF7MFXVHgHeCZDkiY7vKKOA/rl1nq3Qfny3
xWfAuy1wZOiadVUdwreSJxoFbUVe8q0YPdE0VaeAdxvd2QrtR3dbfAa62wJHhu6XNDqMY6UL8BpA
d7r4UnjMqqBUn6A6V5H9oG5Jz8B06/ojg/Rycwcy+gALLshJnXGNiad4FwhOHSuic9VQ6dRbnq3R
fnQnTzQD34nEkSF8Wsdf0+iu+vUYq+QE4RBVVQZ+eRtc9QRzlhNwWo+r8bZRfo1K+0HeucMMmHdk
jgxoK0XmZJzK5Zhy+OUkpXFCKNDkXDxCOqU3QFJSzGdN0AkD/Vq99iO+9y4zUN8rd2TIf4Y/Wx/E
iqsnzAArSV4CfeQ8JKdEJxPQX6HSfrynN5gB9VTkyFC+GX3rQ5AfEhOXMeSNn2LjnZlNT3Smwc7v
5BFna7Qf48kTzYB4InFkCF9uCj9LD5J+ECdwteCMGewx/TB1xzCRpa4Kg4G9fPhsr9iv0Ww/1jt3
mIH2jsyR4W3fR2+uUtSj/PrlWkXopKkgRMY1e/zsEF4w7UTlyClOkoqvUmo/1ru3mAH2rtCRob2I
3thpAQL716ONyh/BpA568xFsOWW/QG/CbaNwz/R9NParVNuP+e4tZmC+K3RkmN94m4N44wi9kEbU
ucFfKvViJ9ygxDDG2Ow53Tlfo/04T+RngDyRODaEN7cF6kKS6jDTWhNIKqso2nv47BhxegLeDH9A
jY6fCU128yrdXsB79x5zMN+VOjLclyh/PEiaWT8RnOqaRp+88akpH8sIDA1/6CRTNV+j/UhP5Geg
PJE4MoQfaxXNTfF1c6DYWmXE0IV8GWhdGlylKAp6+EwM+UNp6SvU24/6/qecAf5+wSMbA6voPkkO
4K8hn8WIRuUucwoWTRpUgDnfhnu2Jvth3hafAe+2wJHBirH7xrxHbfkhFm39xNBAlyD58ThtpwYc
uUqVMALifOqavUqr/TjvebIZYO+ROjLEr+6bzUFqd0GA6kyAIn3Kc/FpKoSCN0dR5w55Nl+j/UhP
5GegPJE4MoRHsugQplqMuyw0pDGfYusddpSdaJyO6/iEAp+t0H58t8VnwLstcGToruPsvvA30QHW
YgZqhBmaijTGw2c6g6l2osEf1ygKBMfPJMh6jWb7kd65wwywd2SODO8bvwz9Pq1/Pd4jM8opiPDv
uy121md2oqOOW0N5wrYL9hqd9iO9c4cZSO/IHBnS5/fFIcy2dsLFQ8HY46QdZ+1WiQLC6DGfjczX
tB5wpj77Ed56mhnobl1/ZMhebMIDZDY4gIOtRp6KP5hjsrPLlZ1IqlHdEBP/eq4++5Hdkp6B7Nb1
R4bsxxrbpOKD7KKBu2UwqSLZ/IjudN4ik8ENRqnBJtb5NTrtR3jnDjNQ3pE5MqQvNmV5fwD7jASG
ip1ShnzKR5Op1zXuVcfXKhzr7VV4vkb7UZ7Iz8B4InFkCGNvfeKX0aY+RFW+AIgEZJb+kq1GdEyY
iqKySfD0Oq32I73nHjPQ3iN1bIj798VBGG2wmjqBdTYes1H75jS+BOdtPJIlk0jqZrZeL+C9LT8H
622JI8P5Ii3f/JG499H9Iaa2ekI0xrjxfcPNlBdBR4JxYqN8/zFFPQH7lcrtR3zfTWbAvk/syLB/
F21uD1IsaJxgh+tYSfLkn+2s27DoYuRS2A/2+3n5wXy99iM+kZ8B9kTiyHC+vE/u0lv/IJlo1IWO
W9mFeCLGdlxxjhIyoXM+Fpc9B/lVSu3HefcWM6DeFToytD/W0aY4REyN3ZOcoD/U0y7nfWwJk+gt
Q7WdqGuuRvtxnjzRDJAnEkeG8E0abQ4ymcfuBbDaQjx54juTGf1HVAnHbCcrOVuj/QhPnmgGwhOJ
Y0MYWd6L2i/fXH/1y+wQCWgNmzaYjqQjWn+Nnx2oEVqDFcVmWVDfz+32mAZ+pWovYP7CjeaA/4Lo
kY0CdOnAZo77/tfnN7h+ogtsqOXkqTR0j4emazqKR6ftpF6j037cd+4wA/AdmaNDGg7ar4cZaSxQ
pGhY8b37384eTJQIqwx1B3SyZF+mMxV6CePn4rMAfi5wbOjeF7doUGn98u2W4oQTXeo/2g1Nw2vw
o6pBJaLrvaW/l7P1egHlbfk5MG9LHBnO49J4iSakh1ivH/ZmCYHWM48h806VN9r/MQOxmDrhUF6l
1H6cd28xA+pdoSND+2qTHWYLNZNoUYONlo+O2c7KDKCR8iAoTth2zObqsx/jLekZ8G5df2TIXhcb
MKIHsNccVUSIrwz9pe5/aPKpoYuYPq0fmq/RfnQn8jPwnUgcGcIffLTXLv27w4AsDaJx/lRTshNZ
UazaaL6NHlOTyOpVSu3HefcWM6DeFToytMelyETFzqa4OwwJik4maIBADfBjD5+pzQbkKFcg4MS3
TfbrFdsP+wv3mYH9C5JHNgC+1F8PsVSP3DdFzSe6eT58doqM0HAMBUYGwuht3Ofqsx/tLekZGG9d
f2TIfrz3NvEBsEXpCUp5dWQvX9h4NbbbxrYrtJN7LE6ZeN3z9dqP8UR+BsoTiSPDebRTS7hlt355
m36fTL/iOAyBjZKECKQtfqQit0pAgTN24KEUmO+x3T80muMr7gd668F+3GYG3vsFjxB22793DxFR
o6SfYssGyvqnVb8CjcmwMd74Hmt/H2+PhyWML362Ti+Dvn2LmYBvCx0h2GfpJq8PtUUHaKsMs3mv
j4Ydd0yiNayU++uOgPorlHsZ9+lNZiI/FTs+7MeGdMgTH2Ax54i4UGOEWvAnIz+d8cB+zFtjA95k
uzzm+mvUehH1nZvMQ31H7NhQRxP+Q3hvaHWjcqmDR3spvfVg/HUV/a4mxn22Ri9gvS0/B+ZtiSND
+CP2W+Lgsh+OzWMm+Rc4bmNfUWzLgUl/anywhxAfWVI0Rpi65vNV2o/x9JlmgDwV+S9A+ecqbj3z
eL7ZH9/n0R5sX3tEHdgS9OnW0fPicakGgFs+ObZl6RRzG9H3o9P+/bd/HFT342S9F8fb4+F++06o
+yG79YyPj/jzl3KYk+dePpXuxzl/9qbaLB5OCHx2MN3Pv30Y2jjbcCL6VOqxF8THd7m++/2thiTU
M1DHe2zViDw/23AqdY9mV7+/VSgFaTYWBhM0l9PQqgY3bO8fv2Iqmh/AC8O2AAOjYMxoJeiA5/3+
VkUBEh2PVyEj9Ohbh5W8TOvxKz5uscYNEc4Z6HiFXXs/zm98l0a9myY/XsjT398kdfwu9ZOq/P0t
xW9kj5c9PCDRJCJ77A/TUSPB4TXCMchuNx/Ggwlw9f9UA0+zvK67q6TlctG0jpeZKQ9EaIWibd7r
itafBV2ThAtCwupLlarNp1Atu9wsZZL/+ezt7dMGxmyqDehDnF2ARC4OARtN2nNt1KTPQunVzRXL
E3rlhkPimLVIdc/qmiqVZtOq9RfRZIpvFrFR5VYeFKFrOkMpVAu1usmdrCpyjXt4tc2iiH4aNMWg
q17XnHvaK7Rb/lxjhnV0R2OUmGDvjtQEejyTica+8IBtX13xTnNdW++G6FOD2jK+rESfambTdzSw
feEY5iD03jf7kPBV3BQ9tYsmre68riyp5SuZZpc4nLMxq9gjjSkKLXQXbhp478JansWl9EobXoD8
XHr5eRi1WrfwS0W/9AuviVc/f6pdGFC1TLATHB0RESI+PPSzQSF6xW2VLCqvksqRn1PXoMxUQ4ah
kSV1967tCnmTOTT66+c/O46152MR+Xs0TBYcR4OhwQDjo1rPflYjnatmpZtcJcZAr2jo1VdJWVi+
4Xiff/5LmD47vyTRd0RgSxVoTWMyzrJE7Ye88NIrIyPqJm/TIlo5ldEzM8y8BcnraLA46Y3UCrjW
xv9p0IyDYvtBMVBwgqGKw0fRGnz686hX8j03if0rkYfaJg5qbRNGow7aEJcLvUhTsyeAftVGecvM
PEzFfRXJct3KXr3odF4Qi7dBGlqBSOJPvMgYtz2j7+8zpclsogyxsDSZqsWpxvWhNn/+9sbmWlP9
xWg20IwJJ/HhuIJtoIhea4mmOcolrZ144xdV6ZpUCatENXnfJ+5Z6/nhV9eQ2UU35N5ST9XOtxht
xLdKDENq9Z4rLDUNmnu/4OKu0TJPnP1cSVXbAZmrHINo9JtQL6AJkNPPh5NeGD4pvIpfBmqeOdKw
K+kNq67quFxWTV1bRZeT903ca7XpeZ6wCpqsSlZkq0jNmBVGefwhi7S4M0XUun+2QZyu+7KqzEzL
s096GRq2kyeOVadB4Jt+xYPWdIIyuWozpbzOlYEvXJfKwFQGJ4kt1njxqaZX0QcWuO/cPuGdGdUi
v6qc/GPFYoXbesPwIv2ewTao9TCYpDWCi8jTjC8OqdUzTzfoxeB2jbRa4qkxDq/r/bViFH1str0x
2LTVFHsIutuszKubmijCM9u4EkunzOu16jD2MfdoG64coVDfHLzQ+YpwsmhMP8mVv+tYxHaWlWwd
pkm2prmM7vwm0zHveRze+NLphNnkqntWOEVt9XgPK6oyeZ23cbdQ2yJfUtrRZhGhM7prNa1r5FbD
PGcRl7yw60xee47iEpvStDrFUsNaKyGBbhqViP7qYuKds0JmNxqvtFUtA4UtSz0eNoaeFouSdMGw
bELDXSpdRzasjNpvpZtlmjWwitRm4rLGXXZVkGJytO2id5vaWBap49lRxePTBJeaaPxbpHjRcSPM
oAwCxRJOK0yRat1gqlXkWLxSknhV6OHCVeuevG85VXHecUEiM8BIqpa8amW56rjoLvRwGCLnfd3m
VRybvR/1SXHnOR5jw5eyVToRe6YsYMrTW9bHQcULnJlS1xm5qsIqDrsz6efDqpF15azjwvczM2BR
ekOEwtdBz3lt1cDAMfucyA5wxYZhJ46D9bCKwjZf6GHrEquIKupceznRRXoa9qL17L6LZHWhlxXH
iGqdlJatVWMtXOqKFzjXDaaO7lq5kRkYcDws42US+YU0oxyLl7PoGl+3FAeeq2b2DklUNNp34tjy
ZN06yzYSUbwoHXgFSy1x48EyBg0WM2GhWluxVyiR2ZS9W74rfSWOF6nrG9+UuhE+sUnKqpWvGrVx
pSmO65wlXFRCC6ykK/OhPy3RiaLwFpnriXjhlM2QL2VRJv6yj/S4PyVlGWeWxvrIt0Sn9dGq8HNf
sQAr+1PJ4oHayFiHsY1/iXIdBUQp8cqT5M8gjmW85oWsokXoVfqHoa44XwZKyui513qlSEzhMa9a
OUWTJTdYjPlZ4A4sXNYZNFikVeQOC4N2g7SMoM/ay9joMbQVTJXCdiitzwquaZHtOtytbZE0gNMX
JfyTZAj4cB+FiOVtAwrENu9jL19T4qunri9C3WJhmHPbT33HHmon1EylLTL5LnDaQLW4nweDGWfB
oJwTJ1KXNHNcDepKkS1o7w3p2vNp6y5CqXqtOV5nUunLBMPH5bnVtb4ymFXnK38XOLK3V0wf84hd
0SHxB980GlXhH/uoZfWVnsk+tROZV5danWBJcksRQkDGHG/L8T2afBlolHhneR9H3bJstcE/p5Vb
fVQDpm20zokd06AYvMs66QRflPrgQ/maBrEd8TwsLaN1Fj718y9R28KzCNyguSk1vf2aFR4/bUTr
Ogsj1AgzE8PBfbQoDbplUjT0augyrr4vK41+pJWCK1pdKQ2ror3oFg2LA/+06Bhr14lwS3btK0J+
Tkg+Ds4gyMuViEqvfNf1amVYJG+BjdcmUCwtYXTPsYLJz9wgGN0xrGRho+iwS9dVKR32LijqMPzA
jESq604N2vqy6qrR+fT67p0WKnq3SNsYP52mw9CYHYurYUVCMT78qHoL+wS9spheqVqCp6hzDa/K
C9NwsGTYYOpkkRv675NCYMoXNbwCF9/BprIq8a5zqvZFYvLMI4C7Lbr6Mla8rDR9UufdskMJNF/0
Tc5Go4HJZOGJYEA6SUc/uUrizw5aJp8Zje8bpuFpIcZF7+qbNuFQoyuC/gOvOlKeu3Bzg/M0S8Lg
xsBqsSoTQq9y6eZf0MtNz01P9Xx2lhqurM8dL3Ubuy9E3sLB7fkqY3itFhF5fxtGofauq0uSnuak
b8I/Wz12y9PYUeJv/SBHG+LnkWcjDjD4wme9Vy4zPZZ/KsSJl3GbubkpVJi5vmi9D35alecyDgPN
1ljBXJg9NP02G4/Jz0WgNO4iYgmmyaA4XK7VJKX5fQyD3J+hxSDmRjta7EWgKXijXTM0CywybX5O
i5rpliOjqsFKyxsC1zsP/i5kIz8qPdz0s0FWBb2ryqQvzZhS0az9luFWXUy9wVJbV3fXGWBpLSWU
+nJIm6a67HoR3QRNmZuGKE/VuGu006HVAU5IaDmssihM08tE79QLpSJquvDyJG7O3b7NPMvQytj7
CE+kvCMygRmB6SwbM/TKtjRl2xg5VoE+v4ncnPp/0XTgRmMO8MD6T1nFFYmblU6x8IQSumeKk7Vf
PZcojRWJUg/XviT0fVcqzrAq6rz0F/5QY5D6rAr4uy6MBu0q1rMoMvOsIfqlSj21s3p4N+Wi9TKg
1hqJ75rFIGLYjrKMFrTjXWE3ETOK1WDkGP2h2rnC7p2elJaTlXr+Z6v19GPgFRhrWOnkZ4z1uHyX
yITCwLJMBksj9vTW7OovzKhbg5ph2IhPGkvy1m41t1IvVScymg+5U8oCiztG9CLzOdBE4NB3Fz6v
wvRCFJnH37GORPra6VKJ5+o6xb0MCyVr7bh0YDPgjdXVZRQ50L+QobssPSP07LYjZN3nKuZ9r+vC
N1XHE5cPXukTd/Hu0cl/DMBv06wvfNerJn/918c0xj//HGV+XPNAU/z7b5f+bZGW6bfqp1et7tOR
CSqnF23dGb/+pN1IX2z9ZYdKeYEs+XBf1lH1wpcvMyk/6jZHpgFVnlxD879nTvwOnfLQtO07x7Ut
9J1NQZoaGQ60oDNwuI6KooVnbAo/IdiCzXSQNmNVKb56YlNAk3McOM1BKWCTAMwgwr3vbAoqEcdi
YgntQJOjed1r2BQY0ElkNJ6Ji6PnRyJljDqmdIqBbsW6rpDhmsfe55xHlRUhIDKTLM9tOsRLI9dX
tE3XWq9YTSc/x2nvmqTuUjuW+sfAUC95Wq3jIFjkjeEg4hdxIhe+12afolTSRcrIe1dJinXV+q60
kyhQvsJjjLFUUt5458Jp4s7SEuKYeiSC07IK/EVcB/V7kmTcTmv9pg11OGxNfy21iJpdwu3MG0Iz
79KPfa98TrXkE08REhE2RBYp2rWu9Neeb5yhUasNE31bDNzUwqQ13YB8yAL2ThrKZ9aUiY1gi5pO
FV42WRFatZN864shMD1Gl44qXJsVMV9orLuGQd3kUdDZWsNru0+9O0QQg10Rp7RkZyxcUrVWlnp0
GWJ7j5OZitqv2y5VLK91z2ktrnnoWjX1zodaWIQieGti0BOUNefw3v70iPyiqCI1jYi/D9NyUWnx
59BHRFUEw6eqaJdNTbMr6rSLOEu/oTDCbgr/g6yzxmx4fJG58ZrG/eewrM+VtPlGCq1HWN0Li8Ep
Nwe/aUwFAa/Jo/A0L5XM4h4c5j5ltsNIbSGeNa5Zn/XW0Oeh1VRtZHppa1WyCOw0IL4Zk16Bk4Ol
P+kyaulE3Hq9C2+Y9qvKCYhZdtRKDLaWOj+t6+LaiYoEnITfX3p5kWdmout1vKq0yA9NLYJnWxVW
WWpwSsLY5Cljlpc0S5U4X0MemGHUKaZad3aQdBtXT0MT90T4KBM77Vqz9Rrd9LiyIYUbWEVTcZOG
3KKlvO/D0LgEAdQsDFLWS1Z7+kXU8tMsSIobr3TUK1bF6TllbuOaQgb2UNSnXtMNVqlH6iJqhG3E
MV0lil8tI4z/q9o3VkJR10pefiaadkpq9rltKmq5XknsqmT0imcsuMiSNDNd8JcLT4sH02kCxUy6
0R1WFWfVU0quso6z9z5LxakfNiupZqd9657FYQmHJmcbHDGv2WHS+9fIsbSW1NRlb8TLuipbmyJa
s7Q2+dqX6ZI1/l+pC7dYVgj7POAZRH10rao6lo//xK5tsydjuw8V1gaHo+MQXjTKpNis9JyXyHjX
hJEi6XUUg0q90zS7jdfP7ObTKvOc1t3zE9irjiMFCWwkeC6Y4uc/0WduVwa+rl6H5dc6fNdnHxN5
cZCV7L9vjRpP3vzt+WK3Tfk/O1hud6kaZX8sVaiKHBuWc0kpOuuNJN8P4h/FVqioBMkt4Ugggft8
qaIEB1BJtBMRyA2MrYD+vVSBHUVKAivcOHSw9n3XcsvvQLJjzwh5HAPPSUhNjMQnNk1hxcKfMfvw
fIzIWAwyabTmOmp8UDRWkafkLOqoepYMYLSsQI8/9YHLTNEpF0YChjHQ4sZsA932EoWYtAo+dm51
HhrdTUO6i96hgZl5ujThvcEN9wewG9XnNu6vRMzXmq/DWjqpmRvlddZ1Z3pW61YX52t/iFozLkvw
FK40HSG7VcH5N264ldWWeWISP+wtuHpsUYRKbg6GuqyDwLDUCKyPLL0vve54Zhmp/UJWfWyTIvuo
6nUNg6cwCzy6xbOBWH1bmaqbN1aROH9GktoV03urKEtb89uveh2agZPHNnqf3uaB8K1G9//SEUmZ
4P/XvDMQVvnCBF/wl+6qK0Nkg+W0fOkZhWLyMj5leqPZTWqcll0c273aFAizu6996nyNq+6apF6O
dbP64hPpW7EarsKwWxsggpe0awtkAxSsV2525xJVszua/JWlWmByr+G2U1f3usOGqzLsN36mOee1
5oOw1Fhseq6+UBKDfmClKGwVdJflj4FRWnZy1bbhOdXy5oshm4KbNdJPS9Cu1qAKf6E6Il1GPSdW
BPZrYXgegb0dUrNmSXnZE6OzQ2QqlkbqZ7YTKb1VYTSbRRl6C8UHJdcT31kkpPTPfZJGK0O21Q3T
muFzOzSenRKEsWEZkctej8VyaMPwS1o07MwXQv+rKeP4Q1nQ/J2nM39t0KK7yKXD7aaP0jOEmUWN
VV8NLpw2yUaWpbuoiyFi5hBjTesMXzEQFij5OoFLFI6+kTd6SaTHi185cBP/VgLpflONqF7EkoEp
qPp6ERqG1ccM2asgq81mqDBuCvAXJbus+gFvvV3krXtRJvkXUE3SUvL6qvCS9tRxqm4pSNOZNU/l
UmheY6pddqVWrFrmMQETX1SLnMpz0HMu1lsfLhkfRk4Xa+yghtROqeHbIu7JMq25ly2YfyN4AgbV
18PLFB0nzsPabT5LkHxrHT0HTQ9x8EoxEiylSvGtY45yCg7I7ozefyTLf3VY8t9nzMfGiC8b84fd
v7tW/KGb4vf0Lc6CG5swYi/TGL6MLT9+WHHsOtYEMgzI44zHTSE1+D19SyGEtIh4SPhygVXhyYhj
pzK4jIcaLTlmC18XbzzY6C0bjmUElfdYYRjuhU4H2zY8T3MQWR5yhHkdaMZpHrbIjGrimjLfK+A8
KY4yLMIsbXUQz7CB0i59oTp2D+oK85rEtLppderKb61RnhZKwp1NFsYBWbRtEinneOjSOaNe0NOF
OyiK+04NEx+kdq56WWPRmnU1eGltAB0bgSXzPVMkgoP6RwRdWWBYpdGbRV+LwQzA1Hqnoq3BiUSg
YUzeIcl5mruFBPsbl4mp521UXLtqVOeYZX0rFq5BUt0MDd0mQ1Ur9xoctMdc5/8P/THV//LQ/94z
e3f0j3LffRgUL6g47pKghyxOr+Yqhvj30U91bAZCeQqa2CEN+Lx4gXNUpeEsLjgXEHx0b777MGgn
DR/GwNzgBnwOlKW9woehfNvPhXvEUco4Dn0NHaxR9Dhm559ljAVCoaRT8v6y41lGlzQkhrjMBM+c
b2QYEg25kYpUCCO4T8Rwmuph2Cam0wXtQtfV8IPDvNY2Eqc9LZCc7E20ibh1YfitVDqbgoY3oRPG
7xACYcQPOltyjSLIUUl5mer6Ny8zAqyQWINpUvpLr675QpR+sah0pJSamGoXQ13GayWJqhwBFSIR
q9NLzwoCt7jKCOVm48uLQK/Cc6n7iV1mbb8sNJmZVY4oLopJZsWSFojlqbxSm/4s1PwLI62c89iP
wmWoyBArNgyDiQUvMuNQ65edFJ4NJpdZOe9Ci4Yis/Mu8pe5USc2UZUvkU6vM71LzoRXf6S6R2wn
VkH6+3pmubJXropAv8X8j808FXQFL+TbEAR/i9YvY1NtaLxuHeFcZGrQfyriyrGRSr90S56uay+4
r5Az+cIKj7wfoipdNnqU26KMGEofRg/IlYk8bxSHLvSWKGdq1pELDcUrK99jmukWtX5RCPHeiNzg
JqbRuvX6jyiOSMxUTdQVMdL3Qo8DUzoIh1E+A2c0BUU/hIKaKmlBaPShckG9OjZFX3jalyYDO+sQ
Hp5XTk+rlRsrvReZQ1HoxbUH7BqkXvzLHvkIJF1c6ri5FeBOSPJIpbrODJkrJpx1RVtnVc8+KqyO
/DVrwuGsaBJ57Td9lpvpYKSuKfESnGvppK6FBLj81lAZXrBU2hRJshs4hLSzHybt/3XrNe4b/pn1
+iMC73m3mRqvR7Hvxms8W2bsGfFoaB5W4e/Ga6QRBYqoCAcxyCmDXfnOFaLnMno/YecqllYVRVv/
XrtRXo3KaY71FofDgjLEYaGvMV50p8oGp1DivBRkH3QU6+Pk6G3jZXRuLmvDq68Dv8rOjEiql7Bm
50YS5ZZWF591RBF5UIWnSSqi4d5Ly1x5X/c9ssGDbyERGb2XXpaYVdi/r1z1LC3jdJlHpW/SoUcF
UUiVlR81qqlm3tING2+NNDWx3MxRTSQSXM+STZ4sY5FF9U3vZl+k16emogtkFpErDKyMlepZ0ynD
mZYlHULEfvQ86yi0+9EXreCUYjYPKF6Cn9rTFB4rDeU6Gr3YbPRn2ejZGo8+7k324PQao/+bjZ5w
UyjEFqN3nI5+cjR6zEyXSCzAiQ4fvGmXWtroX2twtI3R425G37uJhs5URn+8HD3zoi2v6OirV3Da
CzjvPZx4j/Q2g1NPVPe8Hb38avT3fSRNzAAhAJyQepGMUYHrKNUCP+Z+c9pU/7sfgsZZ5lrumaie
AE/q/S975/YcKY5m8b+IDXGHx+WS5MXpe9muelG4qmwJARIgBIK/fg/V0TPdvTsb0e898zITVS6n
nYn4vnN+56DdYzqaR974T4kg0pz6iDvTQ+3K4Qj+IZcDj45DuGr5FE0kHTNuaDxnfkyDyneXWWQh
DT8bapbT/oyHysimKbZO3q9C30ZBf5Ytvx2Id0km56D0cna6qFAbTIl98xVbHtb9z0V6j/WUfv3n
8PhlM+xlu/959AG1+Y5Y/Lv+6/EBZQ5f+K/jg4DBxDmEqx3tM7/0kX8dHwTzPQKxkHZQYRDu3VG/
Hx/Jf2FaSlPU1cAcAFWJP/p99oHVAJIbFdC/DUwk+jvHB5BPHA9/mv0R1dsrFCKcV+gXjf9yfEiW
zHM7J+qOkJYde0YrzpwkG/3lYuJ5xWfc0zfWeKryyeZXqTX3UgTg2mT3fQw8VWhHH9uVh2Xqj2vO
lsjPRMCH3PAA07qzeNDzEyeLh2grnMV29wNLX3m4jTmkBD+3ZLvAnr8Zw+CYqBSurMOrYe1facJU
vg3JdRtXXFuqmY+wl86sEwN8wfC8JXWXsSC+Rl7whYW4Lqc6eUiXuCnkWD9MZHwHN427e8he5i7s
swW0HGTyeM6bebtGMn61FBgBpLe3tFWvkZ0vaePeLHH77ITddUqWPodj/EWOlGSOC/KHLpd4Cx6l
FAeXOV+92uZsYIeJDHGux/6mj9Wbl0S3PsdowUNbzRYTBz4U71ObaKjOLc+ceCrraOMZDt628Ecb
AY0Z1jJJpCnneV4Bf3V342Kx+DP/qDgmHruY26WdTca2xa0g/hxENDzaZhaQpVyZO95279Pohzf1
z41ZD7A9Id4zeW+D6LDy7lSDIoAkpu8jE3/hA2VlH6xvUY1Dvl7CvgA73uStrNXBr1ddSC+upnF7
GK2MDy5vz9ZtP/jWwYWevC8RH1245h7NI5XeiTn2blsaH23CnobbgJ8iI3bi7BKtkP/QXX2o41ll
wQCHeNpEOfnTDMc4eeMRFA4zSC9rVV25nZRZ06kfsGpUIaZVZN7gQuqH/0tYuU7rsV5xDHad+D6O
/kcceh+LIuzIhuB2987tPDDwjnNXirUNXvywASa0JhAeaZ0rOZy7MDq1oQsghR/GhDUHF6xSuVqM
uB6L1ioxvYozGZqpXGbnoe6Xn+nWLGMeEtzFyDhU2xBo3NSGc+AMmIvhE6SR4pnyqABjEicFEjRH
z2GyUqN9B0XzDEGrgERVkv2OiY8uPkfpq/JnP+fDND8NgTuUdcps2cQGd2Q4xbm7Gbec2h6aXdg+
pjNoYI/6WD34SabRDZ21iwkdBhBGW1wXMYSpRGBr8QflZVBoycFpfVhusOMvqycfqMN/+GwJHiba
PSZjQLKd/Dz1Gj8LnxbgBpspdaDajMFwVApXiuishWLY39M4vOEdIUVPRJBFAr9AGX2bJves1UMd
BH02jsl9knT0ZCN1aykkWLhU59RTPwPd9tmwivcu6PoybnRTONZpin7D52MJB7DAQ8gKvjmVv+Zi
++Yx/+c83ghx0mopazWs+UDxMZg7+r7uLIy3Dle6NS4UMefJ9sFRutzBGMNfHNZ8NAaXjCcVPtt9
eNDpcOqcrs+w1kAMbNtnMJaf6Qz3jFl87vw2rgIlWRkALc2cfpuymQ3yxvFseHVl9+zU3XBrZzBL
oApFGacbLew2O/AjqcrZSBSYn/k6j02SAfoSWZvWT3zEpzkMmHsaW8GhjOIdB8kEHnjdHhTtI8xU
8DZ1N295vzqPPuTJguA7ZXwbaObMEUjGpqGHeZ3g8A1TcISYaueAnxuAf5Azhocu8C+t0k+Ekmca
1qqAqXameH5i6W+brTOtxlFAGnfHtyYNNVZULSORayMuxsyYBCZYk96hXqjEXFhraLqMB//YOr+h
B7t28J9ngn+Fnf/3TLB/4e8zAUQPyBoE78kvb8bF3f33mQDdJ2EaJtA1QoiFWLn/PRP4mAlAqyHV
gNEgIrtK8ftMsIc5IJZgYECgI8Qo8XdmAneXHP80E0CiwVWBfhZsL5BeyF/0kFoIrjlg1ytMn47j
HjMAzMtNFDbnrgZQ5eXuvMXAfQPSexY+zro9GUULxiW78Y2I3xsOlxnAGCPDNxG3rnu/uLpnmfi1
5up94+3UtJ2Zv6/Bw74RY+jBcuxqAh8k3XfmjvoUH/uITCV2a+E+1XHaBpeNba3+kUoWLdfR78fw
oe/aao5k+0HnoS6UrE2bG7ChoiIicQ/pkNTz4zSs0yloPe1kG4DlraRkNd9gYMCwiQdOLp5J6WUc
BpHmUi685DYd4GZBjjdkrS/hBGae0g1zhkhp+m605CmOMLpsFR4rv+WN5OYe4sM7SI1vccN+iCjo
SkhYXd5H4Uc/dR9RqlycM90Q/Fwm7F5E5t7AQPNtJDxMjWO+LRGLICWQus6XxrgQDxaBuWZKXl0H
7knaLPSHraP5qH3pnbhD+Y3TeN2xcccYMQBjT1vfD1UQziof4UvgTiEBciQ9B5pntiyd6RVvbl9E
IBexvdEimbpLYlKVh3SMr2sYbqcmwJxSe2mbBSmv4nrospF5DaD8RIDgNSBcJc7xJP1IAu5Uybwd
ISzd+bCKq5XCHnN0B0GJjlgQA/sWcEjFDbycLI7CSoGFBEpr84mPy23j2yknnNs8hXlUjAgwlsLp
vTvCmubJWUL/EYSC/BAkGM/dUAPAnQNkOerhp8Q0cPlnk/m1yfiIjvznU+seD576v9aY/at+P7LQ
jYlT59ezJ3areU+S/X5k7QIJPOAYSRhsJr+wqN8NDBRq4o9cxMx2DxtO8b+PLDzYBIFjnHUeKt6C
XVb5GyoIZOG/HFmwIj3PwwPKdosF1sj+53+QcAP4n3AdVvcubBdoHSBrEHhJhuYqaJsHm35I+PZK
AXR4w9RWC1YQp+YAMTnNQsWqlGJYqRv7ZZyQ3PHV+BDNCiQIuRjK8qizcG41kOpjKJyvirEzZXBs
2Z0Lc/CqarDDUbimmKOhKTQa/GG0bj/bAKmN1YQNEMDkKwyTtkx8ZzoEy/R1U91x8XxW+OF8Xy+T
Xw5AW/Dn5LLNds0ACF33vB9ya+2LdDAcdiP5qHv9uWzez8TpcdCZhuejZ5+6xC55Y4Ovy+q8jhto
E8w0hYCmlc9beiujdb04kKkjF3qOlYBgLBUFosL4i1R/htQE+IsgsmYXwwTgI+HVdUZp4BWg8OGU
K/8Had7C9Z6Dws40gTO8jMdIpLyg8TQWi7+sAW4TxHaZ5L4/FT18l9Oo/Sl9d+uAzmVtx+4IlAhq
kZXNEQDSUII6w9IG+7MkdFwypNJsqb2kPcB9bU6+B6Ezj2rcZla2TA98HSDLbu34MCNZWIGxGrI+
bvGr0pTBfsVgywfBsk42XtYN0ZvaRti1plnKYAySTCndlJPhYWZThVBASsMqipf1AZ/NIBNGkEIs
c85VpM5pu3UZbYL6SkMiiiU1+szZHFd2ZGsmYS3pYoA5ljncp5XbmE8vVUk18MHkQ0PZ0Y2c7/OE
tw/llAPWuhYk1IAhEVk7dYRe+JE6SPWZAfkS2eOjOoIGB4YAxyAU7X3is6Z0MbZljbPWZepCsg5a
H2D+rMMq4SCSrZtWyC3AUEBM4j7eFDvjN4eFGz73e6IQ2PHWmhwplCu8YeAsJLTmzHcnYKnIzzX4
ODnye4+UFRx+SGY61FC3Eme8LLFaLmwxY4X4Y531qHKr+ilqS7x5QUZ1+FkDrcyClX+6TuBXGgga
z8jW+ZVIcZ8ZkyT4TjrwZJzC4ls60A6sG6Ns6IO5pGxxHbxKGYEhM+13XHOIAQmPHJetkVPJRbKR
0vqJPaRzOIrPFmzjMYFz+QASeyg8cNCQ4DcyXvy+zkdin1vHZUVL2hB7QdocVDu8rE7KcrLRKVPp
okqN+0s4668OG14RnQYEhvtqybsNsH+HlJwg8a7zixdXqnvw/fW3Nd3izOOM36wmSSB9Iq61mQcY
DEkWRrAplYyHU2qiD97O3wxBmoUliJemzuciJg10sv7qO+LcBggkwcapfIQs87Yb90MkveJXcTJQ
9hWuU8fgczF1yTPmxfvB5eceyE8mR3WLwewHpMzXuXVsAbDhftrG5JSM41Ft+klv6ReIhhS7JWa0
wYzlLBAMrWm9Vr63gbyRNsiSTl4WpvMx4Y8M/GEWM9pnBgmKS0i2d4s4QwZZ8FgrrBgxvUv85epY
fyhWeK64Uuoxk/iw7aEkmQUyrb+LRMpvUTOJI/PnGjaW8UHJpcEZEfUwCyKlsyDsvqc6xJlFjCwj
f7hXi/MUab1UAi7JmUmDS1mxvmzWJcFLcqZ8dabo0FucSVQt7KFDF3+mcbk8mP3i2Qilxbh/06kP
eSlonVZE9/Vjy8a+SDxg7ThhTKUFdjsnBLLSB+5aboInuLRZixMmXitrVoE0UI2ETNwFZbohMxaN
4SdCRlvRBNsJW9cdkcOl88VNaGxX+gvxKn/x29InPT0gsgyDDg+2rlpK3SIgSoHXsWEhkAmrOfIh
tK69yvMtjnqBV8s7XLXesqislT7LIg4efu1xSpGButUi8ZOGI5h+kI7QQoQbVY6AS4gFfMkGNkGv
6los3rC7s39Gnd9E2/931Pnvtq/lx//ezsgfRh30JaD4yEed3f4Qegw0fxh1MAVhaMF/fgvU/4m4
w3SERsvQD1GO8yfFdufGMZmgPAsbGuygvwWHo0vtr6NOAp8QuWakNPE63V02/uOow8Z4EcJP2jvH
Hb6yekJiBgepu4anFiJaJrCL6NGUcdhlZAYw5bObdB1ul6RDymgBKdftE71hTj7GxjuwkByI8p+W
evbKJFYmn9l6Q+DHRg4s79qdXurE6/PWbW94OLT57IzHttHvXbR/Zt3gJ/VqnfdOx3IW2otN5p9Y
XYY8aeCewDoro3UOM3eVW0mM0xZjh0kf4Ywpj01q8mAlUT4puR6kWu89bCCFx9qLsaGPG//0hg3B
FkjN/FQkOgNE3G1oCShl1riJMTDkHMlkGaf3W+q+znTDkpnsNx/uLFkbT/i/kajzjfWYCjpGIQee
fDYd1ljRbMBZn3mLfdk4u06xvPS0v3D8TJlacfJ1nve41E0xQ7orG+ldqes907WdYB7BGY5SHzl7
PePe0EAyDwL/2PlrndOkf03C0QGOvTLDcOsZavY0eaL/hrDYy7oFy2Xa8UV/0lXrAuoWw/jNMiSC
ZFN1/RIBOQwhmS4w0oxPPdxJkytn3os/aNB39XLn4GEUZdOYrfDCjZVbijAWCBincpR59B3+MwQj
WSGYBrimaS4qep/sOzJ5h6CP3vXqq8qMOMSMZuXYL516SV0un3AT7ZuPmm0/F8sfNx+bd/xLFG1G
niQgGcQtxef7RCZJjnby1J030vQu6Kg+rynNgxR22BJHx2mEbkc4qXMepOutLzbkYGrVLRUiva84
9ooY+M/Vt+oDMR/vSBRLh2yMMKT/c879JkQRGDX/eaX77+79pxr/j3MOX/XHlQ7QmRcmAbrw8XTn
P5xzeOIcPKYIrel/8bWT/4L6RPBgq9/g4T82iuBxSC5GZbQh/MYjx39ro/tVefEnY2rHigmqHGA+
QNTan6H0x2NO9eEGDoXqO9L6zwhfPHk6vHSBfmgstPFl10QZwXjpBkexrqLodt2U7grqZA3FDRY8
RbwupkBQ9ZEE25bzHnTHEkxRpjcXBtEuQaf4t2SsOJaR3j2lDCtDz9uncVd0N6mSzFX26gxQezsp
+hwqhpM7NqRFvKvC7ew52Tgtwy2BZIyMSXiN503eCM/D6BkBEGUUl5i3i80annSy688R5wzgiHzm
MoFhvYvUZNSnAao1TSZW6saFaRF0H+g8eEFe3MlaLzwqaN7OLn7TQV+3XQ7fQvYdSJXIhtAAQIZm
jkCPcG/cXUfn76OPnAg7KkVZscwG6/AuvMdr0yLvY5vC23Rf9tDnlw3HPEC+nwbKvTv1S5YS/EDj
TE8a6v7qxH22ytLZbgyEfxsk30IYAWp3BNI1JAX4xZuRjff17hoEc4LmF+veNdG4OwqmdBOCt8SP
dTYxpk/xvqghBf7o7Z5ECnPCwqTQMkEIdPctahdxHW/3MnQ8w9WIcCvrqZrKdvc8aAM2ZyTJDZav
02rqIAtHjlVXwg3TOHJ272TwUVuRaBAOUYo+AWRihpLtbgubiJ9TGDDMUSIDjVwNRJx1Ez8H6fbu
7r5NtzYZUK9SzDwtlMebrEeOPOth9Sxk9vII5g8epK7x/g1V6ncib6gryX0fTPIpofABk1HjdqDu
tmD8UStktLzZuccH/D1VtUJuiMkzb9y3cZivI3LwhZMEKHZZ/A+YfB+Ax9aDniyME53QI6Lp3ztc
othdPZ43wCAg25un0GP60iXkPAvxtd/Syza4MPgVrzBm3wzr2mPlg+82MepmqqFLBjr9dhIbLp/5
mTP6feBxcsS2ZGHQdk908yEPeuZ18OPTrvUek1CdgRm0uA1GSJtpeYpY+AUwFj/P076Wiu0J/+Zy
M4D8x9ajVDmxaMx/5cDnEYF+N93fPAtnh0Q0KlwavGol4PluAOq1lvKsPWNz68RxxtcaLKdGym2z
Wr0xggVacj7eC4T0sgXLiJWre0hM95JgscnYxBG9FfBRPIUF1e9lSVsBE6tuoIqsk3fSWGcyJSJe
jJ45kS0hpyHhp9ilbRXhtWRD5K8ZjsUJC5K+12LaMjXIYzANR+FgNVWQTgUGeGSpHRdXWjDliInb
bA14XIDPKqbAhQyK/+EE4b1gKbbo+YtrxSUczVn5620ajE9zDM92010FobbBHkW3TDbu7WzNlxoB
uQy2+X0XmIeGLS9JY6+6294QhYqzBjVFWafEC6o8zoElx1XrZ8gJJBuMJBnWDj9LW3vT6KGMyagO
3Qp/2RvtlY5Iqsm1Le3ilrHXnz0DvXbV5jMI6beauXfoS7lFvcs9wgmY0Wb9ndIQimyzvbUc00Uw
JEmJLPs33cXIuMKSzCavf1Y8uFinV+Xc4lODPp+1eYHSHx7rIJLAAnb/CQjdOd0dqX9WlV+rSvD/
8iVPHOz4+/++he9f9a9buPtfvovoGjYC8CIgyv5wC0eOdZdDcX9HYBV47b+MpF/weACmHAIgJMRf
C87vXDnB01LQ5ZOiPgnQY/L3VFk8i+Ovq0oQoNQKt/AohH2Ddqs/38NBmhO/b4f2niBFCmPU6MwN
lpc5jlg1Dc4dSghG3Izra9Pi4hpXsOcgyEr0NulitsmHMvUVz+t6Bi7e5tIdkl2WwOnGcLkm/hGh
jEM0oRbGuscFbRBd5zTZ4qAXw3e/6nCCerhwAOK8RNPYO4/FdZ3MRwxndkn9cnIY5Fm3vw42+IFy
tYqtaY0IDvqQYP6ao+jH45imFy0YArPhYfNE6ex3AzecbyJPfYmX+XbxOBpsxqCu+Oa9tyM5oFD3
jZM5PMSUooth6NZqdFuG2GDCIY/oc2in+ZBg0Zg855j6Aj0i4onOU59b31/KubcP0t1lu6Q/oOqA
HDu8uAvyA16+JQsgGomjx+niu9Rvf+I+2FerB425Zo2fOSt9Hlv12fYIaRK5IOqoxRUxelXUsHCg
4fXtPgeFqD1RK6aBpITEeObhJAu2tF8mrC3wWWRhQMjyEaCtTNKzOzvglcPpmsq9+cdU3mQfavSA
lGZzgC1grscZCzkQqoWDu7nlEoRvkn4Vwn1cde9kA1VxDtWpy9fIf966+msjh2JpOz+rkyYG3VDf
YOW+iIF8ar1FR7HZoPBqs5bQnFEuQ/0H9Nq9coHXz9aoyTamtjwCBGAijC89mjDQDmQ+lGhOjm6L
hY1ZsPMt6+RGgCHwfQgyWCtNgQBL/kbX7tGOaCRQCdjHzTcVY1BFBzmt2bQCQ1ogxuQtBOzC7Zqg
6pQBG5G8hi7F+65N1rh2yEjXf3VNfYN49A3aCOoTyN8kRztTXQQedMYUfSA5KplwM5n6ivrqFqbh
zVCH8al1EFVgur4lQn0dxACwugWsbeqxsKCWogUvdJmRqHbb+Ti45N7zsGSjRQxeH3xKZk5a9l+M
M1dKyytX6hBENsXtDLs403NaBtGyE9/AshMyv21D/aExwDjCVkvdr1BfhxbpX3BfK36qNb5XwzLl
TTo/JU0LpOk8bLfTfKUOOnNIemJW3rmhvPdmemzD7c4xUYqM1Vx58Il/pYCN4thGN0x9kYDK5XQ1
ACEH/sqQRviV4x+VoLDyJPK6fAlMVHRk/uQNJlHb+XHp9fuliqCpRTJwUclnLKw5KWcQOTVpWrky
PHF3CIuNBt0IddtHa4REyM9xLCtD69McqvdySB2U5qHJLGOWT2dFG3Ho5uCnCSfE/XjzE/DNGybh
HxtUlFJp0OnMX+5Xg+Ee/uWcr1M0lTiOgOigucYbLxAjpgvOnt1R6WPIjAP2BtlNp1B2Ijr4Bu7u
l5kgElbxYHQrE6w9riU0D2Y2tiMCcYZZt0ykE9hsmOG7H/EUOsxoqPnZ6lu0RK3mKf0tQ5OOjg/l
w6jLEgLofIOZ4813zdQfFUOyuQfZVKqgCQ51HbJsgIDrjuxRU3/OJ9RABYE0h9EZbZU40SWMbV1g
+Qsg90Y/BvgfWTOhd6UTwRt6ZpKcz+CpXLJFZ1/hw9zIpMnw10m2huob8N53LkavmBIBmGwbPtF7
NiOgrgh0YNTJEQJDYZxGlHpgdFl7Xdga9RtN71wDOT441GBGVd/mevncHD9fLCQB7VpkA/uwzbVv
z3w9hWTpMmg673WjHqMao+rkQd9FS22cTdPyRDxIDjq9ccT6teXe5+YS/CsMJOzcoZGnLkAVe6sV
RRCO8BbGxwb+1q48ZNYWtr20qN4gTYslxar3hW0nuFMjpk4b5UO9gc3zutsobrYCkyYrieM8eLhj
FkscbkWNapyNrJcUZUQ5fgv9MZaAabUiU+UHM872AORcWsclCEVcS9R5nsDkhuzVG0EZYK6nBXca
USRNuuCbI4mYNunRh06FQbdNCh/lC/mSWHXX2X4B4rjc9ADssiSZWcbc+K5e5NW0cZfbHnkACban
00dmpvcoXdYShs7T2jpDuXUQuGmKG0gozBdqYE6ZRb4qBCCF0+A1mu0NBWD8gKsuwGcA0UxwJpD/
1PSh0/QLDugD6dubpuNTBgrr6Av1ZZjryqljCzUQw/Pi32Oxe0xD9b3GjS4DNHIbkOmCKgyazzKg
Fd3cnZQbT8wBw7hOC8u8EP4nb5pTGq4J8CqZi8QbKo2cbF4H+q6pDUof4oP0JhCa7rFvBp4HBvvO
agIgcaSbS+KipSZtaFzBvOF5PAvUriGkLx3HrSKPJ6cJv9AcuMod6bEBJvF0NlKOmPDTc6ztl1Yq
Uq4KN0EcWQen3ljlLO6lBUuHKG8MThxX2oW53n3kAvB2NGQDyFvdafPgO8yQ+bPVHyiCmf4pCOp7
bsSLA73qgLCszHDI4YALl+MGrTDDU+juPWAXKHzy0R2m7A/gaK9+ONxpGf/YAv+HBZ7Xa3iTDUNT
QB8Vk1+faNe/EQR+fawMS+JdfNTJ+d6K+qN2b7Jb3hkAFxN7HynSIszUD5sbD1k6kScZ7Ie4Ex5w
1vP8n7H719i91xj8Z+UM7Mn0fxkE+KI/TN0EszbaVwky9t6fpm407u56VYr/+n/Ct/ZH5ODZR6h1
+Xda/3d8K8WzFJCjT+Es+DEqZ/5WnA30+F+nbohmcCASvDoAXOgG/fPUjQFSo0+P+3faBgRHzXyC
PY/iGOH70FiHg/I9g5N7fY09JCY0C36MfnIzYaUrwr0yS1iEDqaRXyYAtpkk8uoIzOkJ2KfC6vnW
jpEugnRUuVLm+5rKr7wGodu1j00gKrlOZ8/3Hoce0poYVpx6vacRx/BuJJJlSJPGX3QD4KhNuwll
VvQLegJeQzT1QebYbB7Z7i5k/p27RGU6qHPcDqcm3PzTNtMxN40HqoHbCq2+pZf0n0ilPJqFhWcJ
dB1VSt+TesXctb1Y5FgysFFe5gMfywBjyQKJvpxYWBxxz18W13xrwFbmvOFHzyiZ9Yi+Awnxx2yC
zJHXvX/bdMO5bQI/W8bxc5g5buqOglDRJnd1N0IQZMOdCOf+bLsJDVQ1xLa4Qy9Kw0eM/ITRWx0p
UkDp2eCAB9tngmP7dg5wHNT45fawyB889FtlXI8fHMmPq1DtKUwd7N5ev1Zc6uROoz0EpC9MwBFU
PWAsGIPNbhFCTeIZlJCoQkUA7MXdSgxszB4I891q243GgdVI9O3mI9osVVbvhiRZW3H0d5PS2e1K
sRuX/obW1d3KDHdTs9vtTdeu8Ah2yxOcHwW2AhsUQT2vmpTflRIeKdIrlw2eaSPd07SbqHWXfNLd
VhW7wersVuu6m67ubr8ilw4jdrdkwT2viMsMaTXthq3Yrdt0N3G73c4laPV7hI+QAPLYhwHc849k
N4B/cRTa950H8GZB1m34SYfdMq6Rbzgku40sdkN53a1lB12BKP+C3RzuxjPz+PPq6XtjiCy5gzyx
mvrvqkVhRM0j9FPuFnafQgFh6HTJ1m3/FdWe/LboUHyRKEbMNE/lcTUok/Ysg6NLJXAjNC9kvN8o
BkPcTPzRMcdkgdvBlwDac2zqn81OQBAR03JGavBIJnEwIW7YVELcQkVa1qW4XwHJ7PaZAXUFYkmK
EVBjHs0iwmFvHzAKP0ZL1wCPES4y0l57i2rV6Qgy83OS2/fJnflh6l0DCrkdrzWa1HLfRkU7DtEp
Whd6EznxXCVUBo+eY17qVE1OQSZjEffwrOtmtel/LHhV8YYVmnLRYv3kAyaA9dnF/fJg0Q+Rkzk9
y86LEOteXbCEBiEtvYLCgbiOWsuyltI5OwE51r7/ZYaqliMe9twN4hwLeb/EOnec+KrDbzT2LkZF
8xvU6I8lmm5s4GBVhcFUJItZbgyI6mOaTgBmRnh5rCE3Hr4b7/llnoPPAa2T4OTbK1mIm81p/LIl
KA2uxZbAj+t+6hhNwigaPSmxPqBh6wY1F2i53SswJGbSqqldgFAzRz/GqizSsxAhR/x1qeFzxtoP
D+uKt9AdujvjsKfW0m9Ema99gOMhIf1cxM14qRf33TZRBL1+T6prjASucVHD4KNpOdhpDA0Zf3MR
wNXzVSfLKwBaUqCy6D61MXikLpYnFLXgb04Yak3Tznk/qQtApCMK6mQ+B/QgiBrukFZfM4ES0syx
aTHZ8UNTbMDhXBfoiI2+IhXWhaWS9opJ6ocK4pM04Rt66cJT3blIzG/f0aaL6L6yR/zQ7YF7xGSd
uxVtFN8ilV/xVCGdOoIiA5eUzco9OkOEEiTsPN7/sHcey5Ej2bb9lfsDaHNoYHgjEFpQywmMSQGt
AYf4+rfA6qxiZikre8NbgzbrskxmkAyE+xF7rx1hWoj6K+jwR9SzDNCj9FvruBTD+lkNyo1iVJsA
Vizv6XJIVf7bfAkdBKxN1H3ACbgEPt2uZDHu2swIV+jZlojRruB7KtwFHT32eAjb9CpzFU+NwtsU
YHlo5Vu7SxlDZNFtGqE91iyEKH5jL7Jx2vrwi8EuQZIa4MdrFEvi3e9yEAG6o4ybBj2IwzoiYVRg
5dciquvVv7XRZ21kIvX+89ronnSCrv6DmeT8Zd+rI9X5D4WPhvdVqOzuvipFZ2WF7bI5NEHXM1/8
Ip8w8MuqyBoMKHqYWeea5nt1pLNXNDQgV7Dk1c8/+gdKUVT3P0jbP0WnKqIK8jDM2aL7Y200CCWQ
dZ1354n6uqIlCxqUO062+PJ7ufxlTfmVnKWK39lyWXtpdMswlgRoAWP+Rr4IUlVAoJUVG+VZdKZ7
l4QV+q8MueK0RT5i1qjj887YNY0/3cQa/FfVUo2H2LGDp7KInT06Q/eg2uwGS/AWw2U46tf6WEi6
nzFAAieTuNGf5VBZzmXvV1KuY7UwPGkgybISJb3o47RRV1FZFhpA2bSTS0cJ8ClFjZ8/QkJyV6Yz
1QJlxauZGv3ZNkpIZR194FItk3RcFz6XyGw6U1L8OAs76gv9QkjVTI4yjS/qNgG3hKEXmvMlV/S7
2ZRvOW44vxG3tqy2JEFsTMUqNhpTMhw26Bg50NyMWU2288ex8nRuRg92j5eO1UeIQG0qjbOqlR+d
Lm9SzO6r3qjjJ5vlLzuXpDuxiazPVWNa+zRyT6WbpatporakGdQ/DJjpW1ibgriBqlxl0q8WUaqY
yK+cE3O8c5PDa5s0R3pBNFHE5PbdqCqPqRZWwPRCk6qvDTQbxYUW8lj4GfWlQJJrzP9Eq4GFsOq7
2mj1wbOcPLxuAskA1FbrlTsIZO5pBKIKR2S7aJIOhJJSM2Uzp+sKrf0+VFT1/NfP2B+ERvDPgZNh
Oc6HQzPnPuDLI1aNdRUEg1Ofm1X2wrBPvZluIEstqmW7zbc0rqEXrLKNvapX+cLcG2t9pW39ZfI3
z/pPgiTn0+bOcN+1TFOQNOL81G+YQ913QUMMgq8FezSpwzIJcDOVvcEsw05cIJQ+MzmOcFTFjjgF
dg0NhvfISioGwjbLMswYsCem53bAmd1oNCFtW7IOn55tfM/oRZGY+tPwUKWM4LQaa5jdxLo39Ihj
4MpkqICGFbuBTY8dMvYnzHmOz97O3c5+q1HTNkA21UXVImeOXOTOWb6NmTAX9NyLQpRUNMFR85He
AaaB4liCVsxi1nwS4dTg6psqiJNFowd3QV9s6e5P3eBwHzslbGYeNNutGC+K+Oav3+IfDxF+s/SR
7KctzkuLdtL96RBxJ613y8yvz9ga4w0HQcoPj2sE7frKLNh+G1XAcf3rif4HJ9dMKfpyQv7+NX96
N5VB4uxJguYM8/sJU8hy6ILCmxob/HB3KiqfCZ4FFciu4AukTctaJx+P4BrDhaOYxyJyHkUEnEc2
ygcS6nVZVSetsK6EP72aQfWc9VHlVXlV/mve+K/Sh9Xdr+/g72i3a6q9/NeM199wt4Kv+nIlcwux
8IN0My/2eMx+NW/gQYf9pKE5F/yNOVfouwcdJxp0XMYLusk583mRf7+STW5rpCW2aWsks/9D/o49
u9m/PHK42mYYIccHm0IMIeacHfv1IEsy2rmh9e2zPzT7oK1kfmp7bbSWcSa5wEDKdNPG6QHqZGEW
DPeFO4MZCjenH2jj8GnQmxtA+KMXNnmy7NtuA33NS6aAGl7kGsi0lBWEG3/TsfIu9NyMVqPSQL+G
Uc3Ihj1hiqujz64ZUDz0XaEmVy0Tghuax63bDwiE2OSxsEHPEinnxM8d1LmyohlWgqexbMNL3w8j
6zJM2aOYuQObx+hRVSwsHOuFZ/qZyG8t0hjWfu2GPdtI1W+J9mjC6L4zsoaki6R/SDQ3ZByTFNso
jONxq4n6BLZ/33fmtRkYIxV2fi+m9LYz6DGKsHzVZgu8FXbfYMSjhW/jFeXIt3DGl9eKcbY6DVf7
cN+FkUmWhXJUpOIpmcHead6MGWWpes6IoIbppLFSjfABo7GzzKwEL655kzj9RYyw2RuV6E1z7dus
M96FAQm4yfilmE57ZesJSkyc19uef5/ZcZk8j3rALqGPtmJye6/CE7HIUue2SlVtzRoIirHeKosh
1rYh4sxcytrjSNjpIXxZM2MKBLh+Npkk+UqLK1IWxLgH5Hrla122RKnC8sXQtkUyqkvNScCxjoO2
G6lLFkon3gSYHAdaErETpo+rutlAPn4JwuJA/uGh0d05CIhek6Hxje3TcrnQ4gdfeTPdaZ2KAchP
eQ5qunKmTV5Zs4rM8hnv55cfbaGwUYt6qLdK9tqH7sAGLH/kkWZs7kp7axnMgHi8rrB1t7gpinOL
X2hhTP4lORpXZoBcJQjVa79U8BGnmDTEUJtL5kfNPJHyQrN47GKNGylo9y3vYAsqF4hItBlMYAqW
qIrVlBu7DOzyUJkPatOe3Ta6jVt21pFo7rMgvA7B6uPX7jZqYCk7qFBMscP6erT9W9rlq6nq+Iio
mAkBnMAaiqIRb4F/2fnTdkx9BaOT8lpXSgjjqUw2o8l5P6luCggCkExgNiArheGRIjDti9K+iAmC
WBeOCWi5y/VlJtOW8U5/BEzwBoxlH3UOkt8mOlns01nC2gfwJepGuLMSHkiSygfAM9T4pRZlvx7d
9sKtjUephGLJR10u4jGzlmGnf7Amm8hVKq67qVy2nb2dZryKbc+BKzm74DaRd1o/5VvF4On0A3Rs
TRq9p6M2MTy3H83evNFU3mFZJIxQam3n0BJ5uuMcQ8m4zUL5shSZYaz7Kr6IAgv9c3KdpfIchDzb
fTiLB+NkFWXupRbk1dpKke/2Za97VY1jq8qt216FCypq8eFrxrPQ01ehm/PyRLCdb82Fr2jvRqPc
N7HtLrMsu8+oK1eaCzeHNfUmsrKnYjQOplKMplwQCwI4xzYG60qfV4+kx4iRzKPqm95Du9FMFLOz
Nq8zq5OlDO1qSooN2Mxvta49VY6rb12RD4vStS+nTuY4PUMIBTXjMsvQ8wWYnlfkPc1O2O1NmLf0
06VIt6NAF9DZScxZqz+XlnHTZnhFe9j2zDf83qs7VlpxWeaovcRZog9eJab+Lif8b7lpneJYk55k
37+FVOaiFjfShcv6CTNIzxjV6F8VySdZbZBLC783z9FgRlQL1eA5igZzTKuu+xydxMguZ6WSsJBE
+cD7FCFo00cvMuPRG+OwPGV2vxsz/znLWfZlCm5bzNPBYtB5Wss6frWACDJhjaeVmfvrwNDHrZXX
1a4ojXUCV8MLbStdOw5eL87DaZPH1XPtmESEKEw0/E3R5eFVqJBhQ63lIqLqBVuXzF0PSl4sMPz5
V1aulWu7UncUS8fYjoCBZLGzaSqwDQwwxdKXI/KKrntLKhGvQ3IV9lqpw+0ooS7gfcoxxeXT3dRn
vDf499Ym2JOFkvO+BuSQLMxW7gjWoLhXnQnAKtkOqbv33enAKitj0VTWaz8B1ZHN9mv7xlFs6zg1
FUSBDshIJ8fLsgtvc20auRDVdI2eMVp0oVKTSda+WhUsXvQlzmZw8OSOKj5v6vAB1UF42UbaZY7V
ykuKSG7KcjrorX9Epekl1XQpa/x0OoINT/NRrEd2fXbN+NWBC5M2Pooy24UeT/IfElcTSZwzrkCa
ymUwsbMSor9Hmf5SJMplWkc3CZLMJQRqaxXXqrWojfI9neyPIBPGuoUe6dUR2/OOeSyiEfFUEgi0
kF109t0OZokqpNdXNQoAPznkDpKZeIiD+ypMUVb6T5bGIFHjo0ve0AcD7CdTV2gY2nNJF+0Zbfbq
m5q7IuomIaAmve8KJ0IeGkGcYCE8iVJ4ShqdVIC5rCiSQ4r0cWlwp5qK5ABT1fcB7KXd+UcHWckG
b+Oe2bDrVQlONzN/yMb6POQa2+aReKca9Dhv6L5q1APE9TeldD76ASekhViU+Kyt38TvjiLXTVe0
m4ZoHvaz3aIvlHsRC3K7DlmMy66zQXgkL24XfyPPY1lKRTDps3esIOanxgmWjVXvp6ZfpwQDMfcH
6RmXzWGYeJ4jX6vXmma86zg/2NPaN1Ec8Jc5wFnEHqMapD/mJtwDfOw2VG7PVGC7aAAMRqWz0Ftr
P5lFtuzK6MKqnIXv9g+qzj9eDgX85fiQ9Fa40bP21cBpG9h+vizBaWCzAymS35MxAKA/DzZmqII4
dvTzkER3dY8CpGwwDShldVmCNIQP5no6qJtOwR9qxyaLcyPbMMecPIkay1JRDxR6CYEDa8ea5UtB
SBL9OSSim0xW/GhOLlchdScI/wi+sT5XD/XO1sN9P8YfoWpG66B3LkY13hTTpnHRRTubesxZfhwd
JbnF3pcsAAhnS+x5mziWaKFtChl9+qY7PXvX4JtjoV3S4OArvkBpVlYvyHWZL2s9GTOlkPWBj89t
MKLqxch/r9LBAksh8qResfMN0q3GxkciHfAdvbzKrTpDNAtFEQYKPavyEMqiEEtU0k29T0ALz5qp
XjoSp6NUxitCKZ9zYUaKZ0AMBBEEYNFz3GRfoFheDMyCFkIhUMUNWB8Vylqx49LLE6VfR9AajSzp
PF8Wj8xUp1XuYKqVY6ASghMTCJjf9KiK1o3OzD2uH4wIqFtG4aX4UPgR5u1C23hhBnSJ9MNchHaZ
QCxsM0I/+YQkiQGpupcqqrRi4DoZqQsFFxtQAIv3b37vqM07d4TmGB6rGttNWhre0Npn2UYXbmcf
GTa4s4TtRXVHr3GNI0w6qpui/Mbdwp4vTeEuOHdNFBn7thPvE2limykWQJUkOhvZXYKdwnM8J/bR
Siyoa3rP8vO3GiGVDoJtybprWleNdWSVfq0lkrQTCFFmVvRbzt2jyxTLHk0uO7ZI207yiY41XtBk
3w4noUHSIilvWO6xbduUzJIWrpo8J1W0NMKLpIQGjg+S0KCdWbNbch15RviFrK4EcGHGb2ws2W+o
cLbG6FwE4mxi0klzeTa0C6vNCP2rvLpWgr0UxUPSB7s2jJ5au70r3aJexHhlCcsZLPtmwORJ3Xse
K+05KqHN4TRe61mwm0Z72sVd+sw3eBdGqJttasFV2JbwtjPl2cgK+ZBNSE6KKj4MBEl5DSoL+NbT
qZfo1ypLfSylwCuaXMHzfUlKBx03jX82uk+pWRwjPXzIyGr8Za70fx1KOc/I/qqhJy6ja/5gxj5/
1feGHuQCc3QBuYWKhs0gvf6vDT1Z7YRDIN1lLPhJl/y1oXf/gzmLP8JXY1Lbfg0FcP4zGwoZDjCF
/+ehAPbvGnoYNVAfID7wLQDqnf/8y2SSsVyAwswnOGIq7XE3WUWmf5Mh5cMFKVl6lqEoULSt48/L
oC68GY0AYZKFnirXOjIBfCtaEFqarDq3NbzG5EYX/aykGlBvdbJ4UceJ4BYzepmqhtpPD6kQGuuQ
ZnQUlR9j4nbvYdm1qzJrjIV0iKdyxonFpIt0AXeiT4JjQgqBgsQorNvUC6320OWli7IpepCqdRXp
+cbCsL0sBi+X0yaqMFpKkQnMD8XVhGIfUMCuMeb1QVqQvIeceOkSmMXKcnpxYwgSViW2HetSjint
UhNteuqMqViTSZdTM6VIcpvqQ/eDly7GDJkp9qod3wG/0XGbQAMU6BBplp8GzXgo8wDZM0S6rdEQ
AlrrsOmSUuUqLnAeTg5trSqHgz5F8Uqrp/fO8dddIQ+q229UmxO8LDaN3qxqUitZISMXxOkHIUZ/
b9mfQZVBqyoWyEGOsHzorAAPdwBcONJbKoLo1pmXcWlabjO2c0MR36Zs69o2vyprcQjZ4hGCRZSa
mV1J3tJuXvSJIarzTauoztqxyr2KJzxHprWMYP6ySD4SbJiTvQAJYI8Lt75CGlj6z3GdBtoKCHCQ
XylTO5abTGWxF4hEPELVdKm7ZfKqmTobaWqCSOteiW5Y2xqG/97hj6Ouf0de0CxjggsWmRy27Rie
jdx3VtAHx3XVhh+9wjYxdsYnKEu37TRcqVJ91utyz13wFEkIQJbZAGEOjLdIG/a9CMbnNKzQWLcl
gbM6UEEJlsIUuEXM+orUt61dO8qRGNbbMeLHAoWK9StwLhhowfkJJ9wXpteFLVvbxHJXrTWKLfWt
GhcGGYbI31oC7LIS4kZKoGICjJndSUQ+KvcWPAA8s5L6oghfA0rvZdqN09rpZ8nqGGw0pXliObMt
+NiQ9UPLR+fI2qiZMOXglFUJaxt6w8eapFyOvvIIzHpvlbrKcje+M/0wII6SvUfjY4kh35b4tS01
o43Zqdhz7fWLkLDMrnK44a3kownBGWfGi2xQFaTYcZIxPjuaOJRkTCyswj3kJHvOABMJAZnFeggn
I25lv6kGUtvakIG85qYveeI8TXaxylJzJ5rgSU/08mZSrBmq4ZBpq5l3thLeDDjshNs/VqER7crQ
3U1DdfADpzz4RfNoIWBgvHmjWBbSTudCcZurELxGaUznLKu3ScGzOQFj8Uo17yg6gmsJ2CUhSzDo
ok0dhy5dGFJrPj3WcyObXajF3bXvSAhIebpGZHOwWhqdzxP936ttXnP++az6JmqSmU7LRZYDrRp/
m1bPX/flckO0RtiNCcqH3uPr5ab/x8YUSvoZZnvs9PzRd9QQwjsi302BF4KacDbZf18go7xDWqe6
DpfRJ0n+HxlTiSP7eVptsISGDCCILbD4Vn663FS/a7qktorLoRaIV6XRM0o18GMa/Ta0WSnT8tOr
Mmy74IcQB3JAMWxY5LPuUoIIHiPs0ifLEWgXdL26iRHlbs2ha8594pdvJZjGjU2YzjFMKdQ+1UjL
0lWYnWQYLC4bGtiLigjhJ0VY7Vr18fcuUWulHin3OUdH6YIHCq+J7jUvAlVV9hrzK/IUyeFpndF8
IkoLmalmEjzahPj9urxgf9UpjHfMsbjXO9GS4dVo76S3pY+mSPMtUz9mO6XfvEgKCKjIToR6i6vF
jvv60IWyvOrjfJV2dAVBFJSe7FVDXoRKbsjXAg2QcVAZJIzDmkElg8nPEAY6wzg8h58xDYQx5vWF
PWOo7UAdwpswdlFQw1eGPoTA1+7PYNTJcBCBEQ4GnU/vELSbyrJXPOyQaXSwlBwrCui38VsstYpZ
UO+CfvOHJ6tP9RdcrDjq0X3n6wC5137srPEGfeP0QsYW7plciwTUGxaAeOTcjV/K4Bsaz4hObJpe
/Cac3q1oeKyVap0H0V6x2UlnKn6B3qzLLaGQAS2m2iFyGx0FOXE7HpNiKD2zdZNhMWQFbVjUB9G6
yVqdPkTOm/2keiBAJ92RInSnI37eloQQLELRc7c4dQthqbFunLDMdq3SunelIPYMKp3wMq2Yr+vW
LG5Zt5PtiCvvm2L3yl5PW2ZeSCgh3yle3UogtIrSDCvKqar1Bj8qP2ylaHZj6ecQoZwGDf5kPQdo
ir3JteM7oLjx0Y6N+NRgvnhCuVdge7bHY5NMxdPUDcqBh5cwJDtnPxDU/iMDtP4u5+Ze0ZlHN0o0
lJehTLGDIhLBbWwYkj6pMVQ0UW7Ysv4wGy+oUV8vAyaGW00ibbagCab63h56nZYWPuuCzA71nVaP
9ozZNirSxlq0PbfQv2fxp5ZHsLn987PYe0//51zUf6h15gt/PYyhTlLGC56E/yZt/NZpGMiWNfjU
xnesyQ+HMae0QLRDJibn5G+HMY5F1pDwSyzrc6/4j+j33BI/LA4xysDPRjHkAL7ndP9JAdH6Xdyk
U86YEmmbSKKjHSRLXY6rL7+ZP9qJfzYsv8EI+Em4P2auAaxunVvmZ0o2YfMJSs+kvzRNqqmWbGNj
ZU7djMNkVKgFzIh6G/1aW1y4Y3eskvLO1mosIpi5lz2R7auEHJCDrE0GWnx2l/rYRoCKQGL6ff3Y
NyURHU5IwT1LlMMmvSl5waVWppeFiChPbNwfTqVVzMjl/NnLZvmrc6iI6XQRZ2OObCbP5cOk60m+
9i25Jlu09TrMJqwU2QLYxoPi2CfX6FwmFPojB2+xlIN5Awn0WsmGs6KY5zZiZCR6JH+W4+5qF3+j
n6Eh4Xyi5GKQFEjpaXNB10n2Wcq0xsn14Dr1uxbYz0E2PtUzJTrpbLqFMbo0a/9g2Vm0Bo6ztQjb
2DQhkZ56Xd8VVrCNHCNYpmF4QBL/DeZmspZklXiWBKKSzqengvRgkcLpXavt9Kxm2Rw5Fl8YDqlD
I8AvhTDSinUlKpy7uoHEN2TdolDHa7vqNmydt4EVKIi5CabvDQxjQUsGPYzOG2VE55S1bHxs95mZ
/kowNezmXWXTGbigEGo6tMu8f/EGNPOHM7IwFZZ5YndBuZqjJa9o+lS0K1pPOvZIl9mHarRO1PSS
MOp4jZVzM2XGKQig07WqsXElv9twvmEUy5ReWbnP5OZtUd1fgyQbPX1q7iMLI39AMDEj1vSm6bsd
civmS7p4FSkRr0E/3qd4vzaDPl1oA078JowlGcr1m5pqb1qf0sxhhiWRcweqQ6Wz6zeI7q+yxPEG
u7COtj5hLkzz1ykuH0ObTXVmFbf0VAzCKzvZ9h3zLrtfarq/RlNLRDKPGHQAAyIqF3P1ksdFUK8n
R2lHjI4DiwnB8BZGn1YTym3ge/OE3a9Vp58FtPWwT1MTazpDQ+GDRTb0tx47YWSqazlByV6MSSnv
WSDNMt8eM9rCjOZWaVAjL4m1nV4aWxXFfDszwJ3qhcnAtZoo7xR7uDWp9gueRoTdkhDBpgVF0HtF
n6g7JTORqPfy6GCH9RRU3maUoKltZDQnS/RPVmw3qyEoT0Ek/GVTDkwj5kzy5ljGEH/aBkdx+zj5
cEAGkqVkLIhuL06JxUdWz5NL+pNDqii7KUWRDyguXE3DiHdCRm9WP2aLuI/honXqddhamwGnFXKE
Hi0NMmerfOzrFbyQHYZB0uKV7WjZjNfE82SiSkQkiFE1fU6NG9k3CM67fclgN2X5TFjqUlvD4w5d
gypt0le9bmzxFK5rNaT3nUq50e24XQtigkAkGc+5oS4QVfWer9Q4Yvty06n5xVj0T3URI30fjfu2
Fc6pVGKjup0z/QLHqP1toZGa83fH6I928PkU5bowaKopmplezbHLX8dCTcMg2R+t8bJHv7UwNv5+
uClOuxhi7Ev+AA1uh7x44R/oazsv3ui7vz7GZ+XSj4c4L49Lnpgn1HKIrX98+drvTKlY3XQp7ZfS
37kUuu7wrBR/J/78o9fRBJJQlYWVwaDtx9dxW+6siGz4S5UiHtNxmr67wY5i9pfKhUDvPw7f/PH2
++XXye+TO1AVqg1D5MfXqQDQm50aikvLPNQWOCmQ5MbDX//OjD96z77+MD+9SBcK0WiApi5ZSN0z
817JrXhzPAfKy2mm/C6u6xWmmbW2vTs7Xro4y1O0vm9W/uoq3veLLYmUx9bjL3rFmv+t7v/6+9N+
ksh9PlOGBvxAJ3Ub8dBP31/aTRMDIqFe4iw6+1diJU7qAzBMuPZLMqEX+yd1MyzP1brfmuYyOzAy
u8JysQYO9q9h7hcBmsrv/M8LyWPR/M//5sF7+t78vq+fv/R7KQna3CLpEAwaYYc/qtDQjNOcM7D+
xTSn0lJ/V6EZ/3H4tM7xS4LC8VOg9l2FxqTbJfdYmGxnmXkDsPr/EIbbcIiESar7XJsiYZk/bF9G
1iivGa/mbnzustUEgNMPN0b1Nx8m+Bb8K78dQSZHAq48k/HkjO5zKIB/fJUK8wTueTM+t0UcpV4B
AjxcuIAvlj4utVWsNwycR02lkHVy1qthvEwn/yBZx12LMrxKCb3GIB0deyFIDlAVc6kym12kaiSW
IiCbSct2nQxPkXS3ZacexdRfASE4VVNxGGr9IqqDvYgT0JxA7QCfVoSQzhhZzka6Z81945KHXpzA
CiQzijFc2n1EKHzRiFl4TjhDXcJ1+frBVpBEIGSz9r0yZRu/H2yvVbADxS766aGbGCskOGlBFBv3
vu7aTDVM/VnL0NEpOCs3kUhCaxV2VYmpnXzzh4LKjW0wgq9t4KLb2Kk6y7iF1J2zNTbjsIHVzm0M
JQ4mjV7qzv2kVZicKi3d1MoEXFwtetDHyxJ7MnCbzszaERLYYCoX1M7KiX+/9GADgdUdukOh5Bun
MCLP6ph0u6GGTsl2oq2eGsm++1TW83qo7M1Pxb32qb4P0OEXvyjy1Zg+fpbpu7Vl7yWkvyfaKONB
2ljCHJT+N0Ch0Pg7RYLeX9PMHu1/KBnSir5x76BJIBDMDZxqHYIqrRxCBrsI2hB1jzupmfLsdh07
AX7nR6YnzUsTBodhZFE3DsSauBW4CW7pla0iagxS2V9PstvHmPtWcObd62BE8Yw8km3wiPm7KImX
HRI8AoXq2VX04GSmPPLWSc/CC7+qW5SSjQZjaEiHaG9NXbiySbPdtG1KhrxLRHsTShbbY9VsLF1u
eyO3vXDQmqugjAEcKNmJkSmJGA1pYHV0ZRQmucQd0C4r3RagDb1AF5eN29+0qi3vAgAvH8U8BaPe
svrB+iiizjMz9jN+pd4KpVsHDLgUrUhWrpKtE6fBKMhcoLHKt6Zp3/Oofh/j8b6KGXTocu8O2ZoD
ZGEb0wZm0mlE6a+77VY1NeTJaOFr+U0w9qoyZZ1CR9LRgtfd+JqjKwuKV190qtdbqb7ByMc3Ycon
04q+pZNlrKwmafaMsGHL9tMRTykISe1k4YeFL/1U8vY1rc6kw7FXEOjWgeZsOzE9QddeBRkS9UpU
CxY9zOKbXOzQMcSeOoaeaduX/IzXJowm6AlT4EW1j7REiugUGhbLdF+7alNSlIlcOwTawMPcqpu0
gqKAJZ6nLANPwIdIEFyjuZBDELM5pX6E9/LA9mSZoOzotOAKtfXR5r+l5h6zTl6FbrRPNbKDfdSc
eAiozyHLxSQfL7u6+Iw3OSdK8lwk6nOZZHvmuocidfZxp15NPYYNdDhFmp5MI15WaTUeJttmeEVf
6KAqqxJ724FQcWtk9CFQuHHq904xjbtqAvyFLvItG32cCmGeemPAZgl8R7KpXBApjapcTyNTti9X
0h908AyPf3/yolVmKQr5bB4t/3S+h6OaNSPk5nNRJdqKeRkGVInjmZ4yPbaZDpKSyLagIC0pK6d3
tayaq6pKxK0z0fgWw3Dd1fFRDEQZuPaDGNoN8OWPPIkDrywxmAUxQknWOuti4plO58wh32yWPTxr
VPpS82yn3aLk+Ia6tVtGcXOv2SFbPrXVl6pIZkDwsq+WzbDDfgP8ws83alxvNEPSarC8y+y3Mc1u
Ojved6icpibdV512tMvi6DQaRlpgoV4zRlttCM0lbc7S8lEAhDiyIbzaXiOaa2PsgIiE1l6ELp9r
PRBHvyWRIq6Huzgi4s+12Ftpo3ZhAMdg8U+w+RAlJ1lO57CJd0lvbsweuE2EJ9vPEzLaHdRkmQMN
AfGxGZTHNEBQZufaRZT2ByCpW+61esF3OXGvNYSG1xdJnF7joA8WMpepZ4G9X+qlWPg1CEG9kV5G
oDy5QvGdgWsddXH0AibyEM2ejIEH1KmndZJUs6Buo5YZyGn1Kc5GlsDW0nKNLTvdExCnt8K1j6Ki
5w5c5c1XAdeXWoUiG89gwkR+R8oEZ1l7jGzrURNA5wV0fCQ/TwR7q2wPx2RFqsCFPpmql88pXEYZ
O1s0ed19QXN/IIOiPqWoxv+mS2E29nOJYFHLo8lHookd46cSIZ7qfqjZuZ79LvL0eF9r/2U//2nf
MLdZvxUhn34dUyUJjjYMMhgsih+LEN0i0pbQn+CcWng7rYuoi7ZReV0TNcIQdxmBCHDj1d98AH/i
ef7+Veef+0uB1ZVgbAxdUU5izG9MTYPuy//hVnwMDGoPvNXxsnXMB8vXd5J4Q4ZTyPbSvJ+FgVGx
zOvpsVDsY9QCNWiycJ26vfrNCQ0bklB8ZzlZ7wXJeLBT48nyoeGoqW51PE15AabKzlcO03VPLSUz
n3wcd91g69+KnGbZgF2/iqLoNeVZXVUCbCAn8Aj5xhJL2bk3nZFOG87DOyIptR3QYex47Vtsu1su
pdumrtcWWSro6LCMi1BZxSSaLNI+zzfj1IllhcDSq3sTtXI0XGthjqEhkuTqBtYCuc+Bh/6janqI
l2XEhIRxQG/cDlP8YIhkb7bofOqEYi3ywWPGLdNAixlUMsUHDYNuPvqap6dCcMEknLLiQUIdxgud
nRwwCXkNUcyfeILFKmmDbMmAEbdb5sCzj7GZp/6pZAoWmPZWLSBHO8FwE1oIDIdSue1a5P26TnbZ
ZLcbLHxEFHfF/2PvPJYjV7It+yvPeo5r0GLQE0QgtKBWExjJTEJrja/v5Vk36zGZeUkr62lNysrK
iokIBOB+/Jy91342g+pYy9llVaJEIAIcDdSu52jt9oaGLdhmRVSU23wKN6OPMrevu1NpskfiJdjW
tf7drmQEAxEYAENfB6V+sIa/z2L/+Ij/aCV89oyLQvzd0zagTelVosaP8SG/CE7SqtpXd3TktvQh
DzZbz+JVHTDFKUcc/v9yIv3jxQVb7w8vmAVlzgTVTfrjrxdXytBmuq1LR+Y/bn5QF+WqQ1K7l+6t
FQfU27O0ONz3Hv2X/pn/SE/wtt1dtPJPjIayLz7Nrxvfv947jc6LYYM0x1r6oesxQVjSFUWM2sCU
akyh5Pu633z+dv+6Zv1+jQ99+LnOOikMSSAtqu9BTU/z8vN//4/fweKQbxEVYyrah18zG81ZkqOK
zVu6qOiO1gY1579WqP/O5EX/6Z+P7176P8uihhb9++Fd/OG/D+/OXyQWs9FqOo1v0obfKc6Uv/Bn
Y+LimP634fvn4d2BQWnpDI7wlzEFEvP6n4d3kXCqYhY1OBGTgMmw6j84vCML+OWVw0Jmi/M7mjhd
oxXGv/vrK1cFPqc8pYcWrRd3g8DF9nBjJSZX6Iab+kKaBVSWXveDoZctMMYUzJMlWZTQMGcaqc93
cwCrJplpscrQaskrtJY1IiFOk6qymoW1J4vmCOAwnshW7wqv8h1WceAiZBYSgCbAuNpoh2hrrFsH
Zi5N4XxlzhDxmD3veDODTQ1ht43GexTzAtxSXtdFCKdYipyNIgevzMtvRiKAYJecCjlERSAQvnId
KysOc0yMMXGlQ7QmCod6CvIvQLhHv1V3rYm0O4QNLPdBugoqM1x0A0c5czRezDohZVlAheuRYHen
GL+bhfkdR2+8BGnSLXErHJ1Re8jVIt+VXVq4Grxitcf8IADGfEzi1rIzp1jX1nprIYVmUdyNaI88
OodreIT4TuDKQ6iggIbk4IeErBnknaWKNwoGfZGWax0qvVUPV4OZBBtZAOuz3iDSZpjnZYws1euk
EQkAOgdIlXcRxPteoO9xJhaIIGyU3QKMH0PI56i71cz2KRPo/EpA9Dto+rPA6tvydGen8WBfjA2O
3rIdMXekdLSdQyiVb5xpceEQHOY1MaFHxQjlQ5/TcZ1F7G1VFDvbsprCSy1Rb2FRABee0PCpgDtn
6JqPs8xsHV6d0910ZhqcEMCVu1nOageiTLIpjcIbYvlKIUSTGYENWZw0VTTP0V00GCUtpc52CYCK
l1qA96s0y3FpFC3db6m44PyAXaJBzmXin5fAeg8xSO6OuWZq7vQu5xZP2dKPx/vSiL5ZWnbwyQpx
BZkQOBFSYUvqnjETkqWpa4+Smj4xHSN3IbDWk6MXYM3jjSqT0SqkC7RnOFnjAqpmezVxNB9jCyx4
cjB966h0eAXsCQn9nL/JaWF7fUeUEYYXCCVJYLi9FL8qpvRAo2s1heNVGraHqZduiO59aul2M+Nz
3KqT9tWIdVnzb8c83k9Dxq/lq3dBhoAurP0bf7Swb3KHSjXAnF4ydkps55Sr+qNvDbemrMxuGqQx
vD7WfCuSXxrduRrq+BTgesEbwAHY6s9oTa60ie+S+dFl3Shb0twXFL47YQHrzGFfSsZLMLV3YtqI
4AD6knEOo3mj1RnxRrCnk2Z6MDoAjnGArySJkEQyDseBU2G8cAQixh85UPVR/VA32U5z+mOiEb8n
z3dYhEDbSb5GOTdsy9qIFjywgJ2k9Ar60UupZaBSkrR2Z5PWXRtrHjwT2/PbovFUEpJWhYPgUud8
EZdZvMX4sxgbYNcqeCex4rJKKTisOAYWHYcZtWrlFa6ey0AGIamgQJS5BaxJl9qE96pzXg0TWWhp
mbeqqR81HX6m1kHrIXgxXBZiiavhdAL1u1adHG9IiDWmbDK3AbXlKEa6ySBfQq+AjJG1nKh43ro5
uFZk/cXKOKrT2zgSAu/DS5WkFeP3KxRU4PaCRFlMqvWionPylDwlD8MsseRLM5A8lYAte1oB/Hur
29m/jivyiaJaucmjPidDxIpey1A6mUXfw+RkjYii+yHsz7UTbjLDfpuZYHkt+cuglmTQV1WpLKLG
oAPJ2Du7z2CKBcdZJZurNfsCF6yxR0Bz4wh6dS041vNcPBVz5HgItTSi7ucHv4djbfXNi9lK1WLu
6gs9Sk8hgGwNUPYIMFsR5Gwtr3fprHpJoCNvaY1LQNnHzqGHaQrudgyA2wbEjcMCtppgcxsDfQCy
d280sN2RL+9SMN5xD887gZTMp5kfUAQdm2q6y4zhshziC54HbgJQ8Aw4+GwAr2wFtKuXc4yLADhG
p73OQYormOJkEOO6PN7mKm1Y3bgwaVWVDpZem/8yCjq5lZp0XAyI5Y4ZqRwEoJjnstq6QvoP+nUD
xHJTC+K5Bfo8wCDKSgQNHbItSUM/COllvJ0FM11KyKb8QVEXPHXAbuoWHFO0dARtHd9NjjmX8z/p
9Io4p6PCRQ76oxj5b1Um6vB/rspuvofP2fPvJZn4q58lmYqUBkS9oZuabTJYoOT5twlAwL/hztBH
kFVKNur1nzpJ+S8dLg0ZbHQYCOTSKOR+lmQO8xTGiEJH+ber4D8oyVAJfSzJIA8aAHsY3RB6bv4w
Cbw7grEEaHLKxzj3Tpg0S+iDxLRjzROQsA5amNISI4+FbnJ92F6jQIoVAi6mQBlrkUkvSg5YqyCe
bmypqNZdzP6RK7wYhUnGN7wyGqKQyxATIgI2zaKTlhpss8Ymop2w5GFt1qZ/CPXJ3MbMJsxK1Ral
1ddHQ9U71wAItxot5aUlAlH2u3ZTDvmpRhxP50xEBYJ/vZpgr4EcNcVRF5hUApgNPSRLKGpKUGtg
24IOHvnkYBzI+FT2mKzioJM2isC9xQL8ZkOAU3J1pMzq/Qi0aNxvTJFYGAhoXKuB/gEooJx9NS6Y
mgCXawVmzlKw4JVcfhbBazV2C65CJNEsYtnAXAFF1YZjSmJbTHIb7sJNW6O8oYdP1jzhbqaIeSva
ns3aj68KOpGJWewxCYIPNPGfkjk9rWcUK6xa+NCQvizqH2FytnRbzs21Q8ocdHZ7a2D1rIcEfQpJ
dFplvRYk01Uiog7JwY76/sJo/ZugRycxDPWyJ9WuLokIIuUO6XizJHAXnUyuW+syLR7iId2ZZOON
MSF5E2l5o4jN61pnFZGjZ+TO91IE68EiiMivI2yP6GqAZCnnYg2RxSGKcCYkIqGPpO8Lm8i+BFOh
S4KRaKAaoyfZJPtlIuNvbpp7s28ebRPIN1gelvCow3IehcjzK3p4ZAVmIjVwtM2A9uh4Uwi03g/y
c9STAZLP+CQgQ9AO17uLUqCiUbbEXg09mjPEQw9NOgtyfeVryrdSgKZDgZzOKVp9AaEOcqtfmQJM
jUmFQpfHdd3JzGo4XmRY4QXMmo7YVmKktg5sskQ0u+BFgH09wcDWk+ZFE1Bsxx8sT4nJT+9M4j9z
qLEYwbMF7365KAVYO5otMBA+Rx149YCNeUf8kfSOXiC5faK4UIVivYbWHfRgu5HXnzU43io87xCu
t5nYWwnOd0dviwpzODr8m43eXpcCCW7CtEgy895yOAIIaPigYcCmDqXwR9QjuOJ5+2AJ0HgxtrAL
4tLxGgtHSuG0DgOofFUk5VFVSeeTstsm6MgYCWi5l9lGgWkeqaR+wTjXO8AKlsCe1+N4zlJ13tly
+hiCSDdMhMGmPFjbuLIOqpOdMGKsU8FVJ+dFXRRJAh3BpDENXcFeAGGPth1IdhU0u5KVj6lgtcMP
wWMLvp2w2vuubs6q4Lpjd3MofmG9G6GOz0Lw30NBgpe6dh3ADKUnzgFRAhc/mP79LPjxVYmUY4bB
MQu2PHDeEWFZukQ3tPXn+nslWPTqTKBshQJNFpz6cGJ26nBbFz0Qeygbl+0giJyCb9/Hjb5M+trc
0NF+Q+2414HhRyEkjFHw8VNA+cRpPs6mduPjL17UgqVPiq2EE0m5opOLRhcCUqDll6og8Cug+E2n
W7eCzV/ltu9B1ryswfb74Pv7sDnKP3j+pb2LahRvvpVdpsi2OAxJu5AQgMggDUBux51JPADnSaoq
TEkLYBwgKfMh8VKRJzDL4XEWCQOGj0VKqtO3YPZvqjKgsauItOiIZIIxjL/VJUL0Agm8LNILdJFj
kNMQIJZSmjctIQeWwDDP1Xw50Vf3pB6QdeIE16MWeZ2ISCAqwXGyfqWX9Y7BDpWIEgaLSiQraIMJ
mcUsiE7KpgcicmEEyM94wkBmqCQz2EQ0mF12yzT1gNmEP1UjT+/1FUE8MAntfUTIQ9z4gGh5iNA5
Yzwj4mo9WcrrTDSEEbBmj4RF0BL1KqX+Dun/2BImMQOdB4kGGGQiwk5THgs7J50IgjrmN89P5I1F
MIVM0Jwu8s3QtbFyA02K4H4bIs1inKybkniLWTe+Jy0LZaSZIl3F2vByk7BCKIaiAfUaG4cyGGq1
SnBGynPLaFknx2nAgCrSp3jRLmujx3lDCOya1u8ze2ftFVEIuS2cCpSNmnm2bcleI4FX13VTg39T
rg3SV0UL4Vax2kcyJ33OBdhuGmxsbmqV5EyNdD1U+0Xz7XFdOzVRTAyv4oqDOAM8uHVgHXCS0VnW
5hNzMGPpY9tmzzsOHKndQbB5HKicLc4lrZQKz8m6b3ArSbuyqm9amAOXcZqFTzTOoiWWXCnNztWD
KaRD4cBoG1vSZvGtiresIlPPOIWWzFtGwCNAymJVdMEGnxxDatZJgtAx8+XXUzGH60iKnxKrfMXF
Bq8+Q5vgJ2vqCH4Dv79WDA4P0Hus3SzhoW8Z1rOIJ4uU0oj0qXkitUBpzs6sL4Mpe0uYzS2YLZxH
cDFuIwUHWQMm6rTlmy3lsHR15xFvvuJJFbOoIDefk9Aw3DKQHuSq8y9rOz+ymjeOf9T7cB3i6ZaY
8wMul9vEqU6MUYsQ4kEk0+KPo6onJVFxqvDw3zr6h8pdwKz+uY6+LvLiT3W0+Kt/19EqdbSFMonm
uABd0a1/V0cbGpMyU/0Zh/Ozjtbsv2zqRGSmlqJjERH/4M862v6LNikicVxMzPBkDEL/QR2NnO+X
Opq2II+QyPFBNm9rjAU/jOuSvMSrCfrhrGq4zgGEzLxQjLZea05hvY5IR878ZCP5IKtjxbnzW8xr
Piv70jCslzZLr61scFym40vY5wxay+ilk+Rt01eHRIqFbbOGC1n1CDX6dpVoytNgjcG6UQdixqpq
C8wEPHR01lppm4XOsUH+o9SNs+j8uFr0E3kCiKc2Od7TGT+ORf53O5jQwaX5IkFcs0ij4UrV2key
EjDcJ/nllEgU+0yYpDCqYaQwBKFqWQU+Ft74AZDi0xCAqI2N+KqpY9mtq2ahZMT/yQCh4pm5GoiF
o1zqoo+ju7Ki72ejPPV5t7cb/1vpMJ5VzScQYsmlPsLkCXKfZQmOU6BKj0NteDBilecadpE7II2e
m/ouUuVvAdlArFxaRd2X3iJx+oZklC+SMulL7OOUBqig+Q6+nBwR2z43cdGsej+JvGECexCqlbHO
DX/ro5TmkJDd4rI5N93wlOGldBNLPYx2tW51xv1ORm3R23R66PlVvnFO4MLQPZg33aDIi2l27mLT
WXWDgQs/XMut3S8aO77MQaKQuACdopkPQ2PL3uCXD1FogO5QK8IAneSuajCOJUn7YMzDfjAryJZN
9lbY9RE3R3AIk+DkgIla5i0o5wbvsdKqm8anydZUwY2a1lu0ZvhWrdbZscGiEzHDb3lgXQf+tEai
NFJhZ7upUBVgmdL3US/3M8YqM27v+d82eUGnmCBAm9ikqHHDuL0A4ZAeEOjcmAfoauwcFvkIvE9L
8tPDpdU1b5mCmdaq12bPUaTt6mDF/5FWZOWVRUflnbDF9VJzrfT1OjaSR31S1iAtAre0DSKaACq1
BQDUPM8uuzjE59skK72d0wVrvjeF8HSwsdiLZK4Bh8JtiDPc4aTIrNWg2CeGzjhZ8KXYTfVk2MUh
XZOwnk50oNay7u/bGciXZEfW9Ionob4HmKQtw8BhkGqSBX6lljKp7a4NEu5SLp3qikxpUhsUuiKt
Jq8SeuZup/pvSTB+9wHTLsKCRCuZXcjKx7vGrF/aBO1FWRSXVuCspTC5VMp0ayPSWnDyWpajBbDH
6pFeyJgfjPakoFPjy5VeZVnwzMZ4U7Sj7oU+fkQnteZFjO1hwcx22RYjm/f0PJoq2bnjk40XWnam
W35oBDuxtJ0i6ZBXbE6JtM2FxZpeXhCnS0fyN0grkF4REz/SEJ30GRZbe4+wH1jZFCzVbMSzgShL
izCNRRVbeYI0bbTWA6k/lPj8IHdtHa+nsVt19oCZvNtGEsffBPHYhNgrjJyHLBZwzTo89CV2lbmK
QCxlVAMkwm+wu52gt742g85LAP9qhIiT6Nhoyumod/F2qMXQFFge4/CB31ZgtrpN19SvXd2f49Fe
NrF+I0cBjfupPsyJRbyukXt6wlso09qvRsUB7ipfG53/vTIbns4ex50T2IvG6jc00Kn/K8D6GvQa
ee73IUqUODJs12aKH+rdcSA5GCYUHWgqfD2wH1OtoxOJCIz6pwai71jdRWT297Jabn19XJm9bHno
YFj/xlyi/1ZcaaAOFtFcn3UZgV8Qb1IWwDLqT7453xDe41ZqKxh4u7qi1qvAqIwgUcDfrkyz9jRJ
2RLw0y8bjr6swhp0lnaPd1GYOIDcTVBhS/kl9WGSt2r3pEU2RDd0qlvFCi6Ew74MgktODgfHpss/
zxwHTVRbMiI0cmnQfZdB7MEQclC+GcD6w/FCS6UVoOAL1bHfCJwn3glxJeFJDVZ4Aooq9ExSe57a
8qK17Nsx6vCaGAZmmcxwPPh/6UOi+dMyKPu3uOn24ShT3+a4AYpD6JAF0NURrDd1qUb1mxFMXtcp
5Qk52aqK51syUrGK9MkdK7DXgNyrJZ85kew84u2/H6txP2QhyISOLFAAQYtWIUqFUVQ4chgZgr3e
tizj+rT1KyfGX+VXk05fpknu+lQakqVCytoKCd2wsEfbS+VoS8ZazAAum5djEX6jjYy6vOfk09TK
szPPZ6VGRUK5ENAih5df0wr1terNavuEajE5tpHFcjmN+TIsovsiVi/odl2RbAdWotDdMWxeAWks
W5ncGmk6N+ZIBA3rV22B9c+N/HacpDv4SvDQOV0NubYs0wjT6TSc+wTlhj7b13OOISoFJ3FZc1Dx
DFL3NnouM1jye5ximaL14RfyAvVXtwOTV8uk2yOr9Ppo6KmWmMy+a/M1lQ0LENfcWbnO3Adj1V/Q
TnepkJ9vrpojOaJeAY84OhjrYRluUKTtjGATH8P1fwvcfxW4nzaKr5/z9vl/3Of65flPYHZh5/hZ
50Jf5+dBYg+TBf3zh1x7+rME06jUtEBiKEF/jvCNv4QTH33936GQ7+pc7S8KXJN9TcMayXj/P4qt
+VVCwmPkGFSgENMpcBEMaB+qXC0kZqKdMv0UZk9zcxrHx3d1/x8UoLrCV3+nyhFXsFS8B7S8beJ2
fvNwdj4tLaJOu1M3Q/QGMz6BG0/pjhp1+9aCIa/jOlpmOroB3v6tiryrrmKvs+BGmQJkXsCCyq16
IzXyTdwRpwXxXEJ5j/SWhAmC0BrBRJ+JooInAiZd69tKOweZwKePWOQCbiJtJvoWK62Y5sYdZGPL
e++/DYZ81LQsNJfYQq2lzijqG6p2HzkCLiy9Uen5ypwo45RwSyfRX7sQsXPL2r3QQcsLzMuPIfnZ
Ki3JS+36wakDzUO4wChQ14eLeBwUV4NNvlJqOKtTneNFjZ4SVT0gxVvSXpkOQwDHlbisTZ6387L2
qxvfSNcU/gjJaOrMc/4kyQMTZX18yxLp3I6UCkTWzqtOt1nG22uLNpQkl1sNb2MiS5u87HZtKRck
6U2XY4J+eB6Bz841RtlkR93y7Cs9kW+sUog0l10SPbdw10l+hmxt2Js0iM/SzJ8TGI8U+rFJgh1U
sE1WGQc9p31aq/0x1UhvY+mty2pjThUpQjqlczTT0knSC5pllBYzvYgIbCB76GKS4p0u6Teo2hNB
vKFTNevX4H4KfLdEhXZ2tJ3Sij5QzDnej801Pc6GoQM2U93xBsy2/BYCD0KMZ0ic88h5zNH7e70g
5S40TmZjPjbtTLyZfhVmPqM9QXTQ+2M41NtiGshSjIG6IdLLnGGDmOGA9eDaVPChtXF6D+ftDtM9
OshuVdTAcWZjJY31k6m3KDhaakOteSz48uqUkX44zd+S1PImiwa+b8DUHw/MFG23q5Cb6xNpeC36
YFe3fLDd1hNvwSqO4sfABxM4NmTRSF3HY1O9kZG2sQVCWCufulp+lCT5urEEs82Pl/3oLGQjfZkT
/zIhOYTM5uCQxHUCZRbGmS5ZNyExbHRGwwUECJK4s+zFUTBHS2XYe/ZsGUd7bPJdFJkkmJb0jQzz
Onb0h65sUA+rAMU55fL2xIT+KfFe6qD6qRUCRwMRgSspxtVIgMGim7p0z/SaPpsJz8hJS2bieuRz
jjFPQcv4KDLMO9lEhAj8wX6pnRbCExsYUwQaTLzfdY/EPpskaDdoniPSrCLzUCFQpNwlm1qj0lnU
UpIsYxozSyaqtZtyXPbaWSdpoPWx69IvgH7WgbwxDaF4p6aq6j0Sm3Oplw3pK6Pu4l0hXFGtmg1c
7thj9nAwlQD4XVKi7J6NtT/ODp5RcYbS09IrWpF5nkXp2UrllHaU1FwSNh/A9qCTNU93ta89W0m1
YX07xnATF44iSUsCAA9+osLMSiEgJ6YxgnYqsmvgHRKvKj2r+y7Jr4aecBeizBB2I7tUqSpifUkW
WbcsynxvVeRv4jTk/y+CXoizKTkvsUbt4PhvGCeRh04U9twe0lhah0Z4lFP5PqmJg+zk3eCQqp2P
yROBh4bbkNYy2BzklRYdvK9H1guqJaJrGYIgtqmG7CZRsmHVRxpW1QLt94z+NLTnxJujqD7OdnLS
1HKT4O1VqMYXIqEJWzchrYOxZMnbqhBYvEAz62069bemVN5kRIpyRuxSijFcK9MApJU1p9sNsllg
gRW86UhCY8uMYurQY3E5FLnAbc+FltYcKhIK/T4OyRXU6Sqz9If3fsUV1C69yTMtWmL1dHbdVMe7
NA5OOdJqGoaavSWPjFTfwroxKjIkXD2G05ypsMUn3fdX5DPdmD4DzNyYhZeY+VJHx8DoAoUOLjgU
YCFrEJH5GgMUiWj8oVv3RvdQ0ydejfYUAXuiy8yuFLYbvc/5iYdypdlZzeGpeDT7cpsPEXNMyuOm
IMvV2iXVdCuHsddHjBaLMrztUhV+V+XgHSIKrpDieln4Kbq2Lh7Qv8iPnC/hII969dCZIMHLIuMg
HPKgW6RCuWhbHlQhQYA0MxLCLjm4c+WvEAu/6vd+KEhtmD/wFSyEhIqIhnlfRapZxpQ7iPNTixPd
GNHpmsPlUDdf+EDUP1+HZp8h5Lm/FwGtNYMwC/NThn2lMdVbVqULO8ueWC5rRmQOP8CUbvqxXKV2
smnUEDo0MRZqvmelOhg+nQMnuQx9Arkq2dOYMXBwcwmfI6wahsnEK0AlfjLlr4IZ/vjJcS7TbyRV
k+H+r3fIyLoiAiaTnwa8ecF0I8c0nIp/tYn/UbrsCJ3kL7pp0WoEcYEWhXvEg/7rVSAblRNI0P5U
BiE+PVPfagULg+xX7Bt9b3i+1D9IjHIvc/xGkyNvB3vQ3WIqWag08OJxtgqlubvsQs25ztmVwNCd
JFlJeUuQ8hsqcHqjCE4ReLPRp1E0qLw3ZoaUj9jl+cpQ0ucEGDWR2dF6HhhPNQouwTRK0K9rr1Kt
rrAjitioyqQfQZZqUWlE2IHRZCuitAlNbEbq90jHUg+utBPI/9FKj9Ns4UyxJhLYlCE+ymB13Hkk
tSJQGByGDgI4JQru/E7JbqrBYP9QgoORlcYKwxksHgUhfcEWp9Cmm2JETqWsnnHWMDhjGMR6nx58
+bkjBsSwtqyLj7bExNgalM0U63QE6tDLS+bSJew5TZKXxIGyifGaLa2gK5ajlG3qlhFCpow7lF7P
SaSGr0Au1jKQZlQ9ISkazFW0plphk8F6o45XmWmmuAQVGG/zuK+s5vh50Qwk6w/PgwBt8Tjgm0LI
8evz4GtSgauNdhNm92fNabIljIH0ZEoVLdsmfCI+CQ0iGAnFHJd2hM6NFfXIXZmRO+IDU4Pm2KIB
G2b1aBT2g6bn4arJjGrVdTIkewN3SxARfA3Qlq5UoWcb4HDlEkI9rJNaoh5hIZKZ6C8io7oOsmhc
KGFTsBswhG0Ja81LUOzZ/FoX5rNDwuaiV5iP1pl6a6oTtTNdKq1VSGNtKjrdpNvVg/kQ2+aW7Jhv
pjUmHOpZBmD4mfl44zv0sZhYVYV2jeCRJwTA+qReM2E7JnF4TXb3VWY5a3NqH2wItwjEyJc1q45a
sOo9er0ELRkNLnNcibIPZByh5LPEMwHES3tUNOlBCXsCUFrgDQy0oGBII1yqgvyFei3L8daBWKzi
52M3QgOA98K2h71Vx9ySvmGbx6KXtjcAIE+OPW6bYnrWBvm10urn3DI9NJpHkF4MlJNzEY4HKzdX
A33R0IoQfeTWQnWiSzKak+1kz2jtJs9MfciDFDQQWTiX8DL2knOJ4fCNbr3vWpNMJm9MHg+5AWYT
LlUQ4YpiHswGC69GLLYtkpr0YF7QYC9hv4QHSSF6QRkw9LZEvIGBAZFBBMNKTaR9xi4eDsHGVtLH
vmxWFRkQzlYnUUBh10z9YQXVx8trmkkd/Kllmkhr9Lz7mRYhYculOyhwNBqZRXemzxIrNk1z+wJ8
8SbIMUkO1SG3DapeBuTntBzKzZRaOz1ABkqcBCR3lLdaGSmLgVTJsByOpMVf1ClZI2RaFoBrFv4A
UMGzcOIO9on+pkm+gb7xrf6+lIGSZfLRNDD8EZJ6wDGJh8P3/X2nIoxuDBQRVox1j+T2ZUndsCmm
tlmC99jUPVWIRYvWtWhIEy6hfLG1ffGmauL4+64Po4bOFDtl0p3QV7t9c4SKvxj7DL7QOamPCieW
z9cGDv6/7RTvVgYhJPv1emHO6YKVoSi+K9a3frwSUM/gYdA3n19IZND8diXIAbBuQTkyqPvQYRoa
UphiuR9Ps4LkvIxGRCO+emM0QbENC4lnbuz3zIVl0D+ycrQrTMDIhtCgx/CRB/7dBbbSN8CBl2Ou
IdfVujsmyOdCtq5J/3I59SzaRhUIZVivbbDK2ugpjwEmhWl5FXRAoY0wbNeZ0e0NplEUFt6kyMOC
Em/NHMC6d1TnupzTJZ2UXae120hT99gJtkbpnIck2Nds25aU7BMV5CkIGAiXZHor91lZe1Hqbwfm
7XE6kl5pZM9kjhuLdAgeq9Gp71VBsVVJnvrirv7ab6HgEtFS726qaOu9e1yA7eKfZrR/ssencH6Z
7N3nv9pX//6HjUOWUmpk/HinyL4uY+Tg2u3nF/itHvr1C5gfnj/kdozmkfyeDPUignLDbZLDafH5
RX5tbv68SzaWF/L34FF+ePRGqxkI4eBbIAknW7MdMmqS22i0vvg11F+f8R/tL8gTqHuELdOiMv31
55jiKCeevoT96iqvbGrLm3TlLyWvd6PFvZu791tz0R9erqJFeDd6z6k3vfBGN5uvGDk/pskfC8B3
r/WPD/ruuXD6CDEjYXundtUvYUp443W3zi5RZXgOqSkrZc19XimL2iWz2GMw1Xv6KX/9/LYbotv3
8VO8fzrF4vPuUzCngINbc98fxq3qYYdeOReWe4ayFS7X98biYC6ztXNCwbnBTLq5IfxiPW5Y99x5
XThus6R1tnSWIHk3+bo5h9jQIdDcFW53Yra6NrbOttgPm/o2W11//tEF2+7Tj/6hgpbUJkqxwvNc
upguVs33clXeKMtqAQhhGS4jDzrCrlhfvB68bkuGxLiId7Hr7HA1LNh8CMVzv/mLu88/1e/u2w9v
y4fdIYqKvrZMPlW4ddxwMW9QxdwgV0/I8HZNF/XPYnLTtX2qNuoTjTTv8+v/+WX93/fow2rDUiNN
TTmNJ3kuPGsY9sQMkx0jF19sSmJV+f25+d/rfFh17AiDUj+nBDGSdtAPr/K4GcyXScPVy/i2XH3+
rf78U//7ataHJUgiGUozqrhDmZRw8rsqg8v/vwt8OPPhJktNEz7/KTH2akwf0LGWn1/hix/GEi/i
uxdNyko7tyZetKI8NVmyKtWHGZfS5xf56j59WNwaJW3iHizZaRS/CjMtZ4wXn1/iq+/x4QHrirnp
8iabTkM/4mA/Zcm4mLOLzy/yxdNlfViVTD+QJppz7AYjDiMH+0PawvglTn6CNz6op57Euc8v+cfv
ZRC1pzBnAYP44ZI2JCX0Om130omuiRHnkFBprj+/xh9/nnfX+PDSpAFZEeC1x5MR6/TvL7Psi67C
Vxf4sCTOZNVrcVH1J5lFm2Z0gg3586/wY3/87MX/8BwTz26D1Oc55mxAAGqw6zeMXN15sasXoRec
ybv+YvApzKufrjXiW797dRT6f+hmQvaoBxrDOavqMeDa7vCsHOZt717M4CPZug2PtCvXvpTcq9YT
u/rFY3Wh7Ti1w0X3ptbdYIdbf/Xx/riRm9grfpYuH5+cqB5khMEIRc5iI5fcZp3q21xZuMlaX97n
7k52p/2b/MLhrL6d9oM7fLF6qWJ5+uxH+fC7I9cxwwoe6qld9st5iQBTJQxhny6vnJN50Nbd8lFd
+W5Ox3ZVr8s10u0vVuivPoL1Yd+D8yTp+VC2J2mPvQIahBt/M1YAkPbd93FDTPDBWktr6Q3+/AJF
+zlYxt8/fzR/HLw+uQvWh+ck6bWM0AYezXqFdsFV3EhUddtkcdNvx+2W7DN3PuHfvIcds8xW5dq6
wGGy7DxoXm749BUa4cfB7LfP87+vu7AUvX9ubYk0No7K3any9LVJyMVyXM2r+RDtFfc12PqrZGFv
CZpwi8O4sG49m+og99p1srqOAOql67+Lg/96vERi8z9rU49oU393eIm/+ffE3vqL6AuLppX6E6P8
U5nKMB/BBXZ3sHcYYQ32u58TextGPon3DLt1+2/OHkq6Nvy//0ezxMQeR4BKljDgvP+MmAf6+Jf3
m0ML0S6wlxV8ZiYKkI/FQzNDSemMjsGbls+HiihjFrzi/7F3HstxY2m3fZWOO0cFDnDgBneS3tL7
CYKkSHhvDoCn/xdULf2Sqqsr6t5pTRShAZnJTODgM3uv7YaVXGlD0E+z4JrByEJDP5iSPwhK/Dzq
WdOtuyjGZ9FaenrGIKVnBGgGvEbAYGfUJEPmTsbeGlwvqWnmpCwsFqqNu4B01kwr8R4EcnbqwqAr
yWCpscZ7PTRapH+YPZ1QK4KNY9UQIIf80dA7tkykDZL47cIh7wmonFm8dYT/twu0ZuN3LPRz41zn
Nii6jEJ91G/yEbuVEKzyCgwILEWOeeWfhBoeqGTnkXJBxHVJGlm5J3bGR7NV4ra044j0K4JN08Eh
nsQFa0uyJo3JMD0yN7wiqq7D1GziL2mYPA7kc4C9YN6ZuYc6H78YQzusoq5/agfLZKKdHrNIt1ZZ
MV4h7Ro3yu4x5XYeAJW+agFBT8MqabmHoepM69GqWUjqxhrOGeHjHcJ55fZfNDnAqiWgpZvZBZkv
vgxDWcDHY6aPg5jBKjBkkZ5i1yix5dYPnYXPJK7UiX1At+yj3lhPDEQ1qW8qp+PMTnzyagiz82u/
3EsEpRCCi4vYKG6qSi19pzyy50VshbSqdznznGrN4vZNjliyawabaCJxdSUr4Lnasi+DgyRuvS5x
mUO6I7atHeIF4N4EzLNDZJnZnjNtEsjNZgYXTDoRBI9dDjEI+060xf0drTQ7uBoc7KgSIZ2o2kPf
9chh9foxQGyBltA6jqO4bYNhbQ8pwaJwkpM8vgny/hRZZBqy7cJENEVr3xpTZBOIH+vED5f64F3p
zA3XbmV+FKlodqIsGkQJxYUl8nYbmtkmN5N7h8VzFlfs3KpLLQTo7XhoIWUKPRgkwSZOswciIdnY
Qs/WzWe9ZOpPpt22V+ntkFj7PAD+b/thxnoShNdIzcyFboSMthCnmB7xRaFSjzkCGpJb2sfBVw9C
NneyYXwe1ORXht5l3FhLjfU/8O83HAs53EalluR5lsQRCoCTBO6ZbXdLKmaCVUvg4x2DfdDIYFe1
1U1nT8+JG7xUFrk1QzTSmOJJYP0LS1rq3X0f6fZCJEATCzs8wC046I73mk8u44CgYkZSiFvmPpuo
lndE+aFVKK6UHs36F/MW66m7ckM9Q62qkaoqz5FTakszYYEZpY9sbPJtLsbXLJiGXTIGxK3VFKSh
6y1zLclXZpYWzKHz5zhH0g2RG8/fAATd00eXbY2+DfSpPkU2vj5FRp9vpHI96/NR75CC2IyXQsiP
OiWlpqiri9Jx7kkzDw/o9lKiBIcPjP83MQvrhQ2EnUk7oa7NNH4qstcXfY/33Q8MuTRcx5257nD4
HBZaftrdgpvi0gEtukiEVnABROOyGgtrKYtwh+L31Q5bnqB2nq8H2zt3VnUWmsT2M5h45lLqr4QG
wmqdDZibz1rJI0nBO3T1z7lDGhJFFImFzKPLQRx19J8bd9DgsHf2jSQcah+0bASneI76MeKzgNc3
4oIZ2/joeMZ1DIM9S+N92Fa3flh9IttpVrmqT2PhX87b89KFAWCOKD30MLChWXLu1VHBnZuSgVR0
ahsnxWNeIL51FAGJpHvi+YJgrWAXLqNePXgNuICuIIGyz0t+eZQQyd2a3I7DJmHPAyHOLGj6DCiO
I/439aFqENmOhUYxJ/A2JPh2mBNwBVG4qSIT1++Lh3oWdZvE5RpYpMI5P5c1PWHEROrqTfHuEbE7
1fpnL7gYSsJ3yzmFF/CTubLmZF4xZ/RWmXPVk/wZmHBUtEBpAE37C7ZAN/ypwBvDSxjtcmPJmYHV
a4ACUufkoMvDJKnvuzkpuGNIupdzeHDpP4UO4LyaWOFMkYuE1Bqs05w53CT9PZugaclCiWUXADfv
37Tnf6qkmfb751XSPh//Q5U0/8z3KsmCK4yXHb/Nt3rne5VELeTpyOqg7tJBe9RW36qkuRQiHo+i
AoOP584W+W9VkkWCns2+E3M9eCJY5X/Hv0NZ9UuVZOuehzDWdHHwEPhj/tKImSwREP44LTMJGwxr
kUYoiDPp4nc0+olA0cgL/cmGNtjrITOFPlFri85SgFgwxpw1wxiZ6bFyo2q8ZBXG3h5XObkz6HsG
No+LzEpDc0tERDbHtso0IgNL82OYk5rvFTl3id3JK6frvDpfOXrZy+NgWaphk8qGrXmFDFpTq7Ww
XxoQsb9fvKIPMVo0pXcOKz1Es1bbi0opeV8V2DPZ9AJ4AWy7kEmcrUSl+iPJT+OGSHpWHWnS3RA7
pt703LJKCEJh8NbLeuAU1rP5hC7wkBb+RaxhvIAmExKdLqCJu8ocr4Vj+HvCb9UZj4C6EMAzUCOW
n4Vy2asOhlG/ulGEMKiVRgci1YLEYsXtHTQ8UlrD3Hp3p9Tb9mGqTgGVmA/4A7OwNG/cSU/Xw5xP
n3b6INlcAoO0UIKDE9LpzwAtcV7FDU5TUSIebyAMLUxBdOHUt7sK8T+Srtmi4EELfjGncroKJw7e
RWJ0xlsiG+vYYfXej2CDn0yrMZENGYSTMFBfTW7WXXZd8s5Hmu+plcWtaCIdop8Ofl+qyFsgUgsv
UF+gIB+t6MKKmmbreWmN48lzL7BFWCgfqXm8kVjC0AzGd8JZ0xPEkeahy4pu0yBlh2UVGYhJRYol
OsQEM+Kf5UKp7GuREP8a8Wi/MiMogC3j1yME+/6I7P2As5j6EZvoprLG4VPJMN25ZRYchiKSvLfY
0c6Rb+tEnjQkhxQj+e3shJHOjW6+LQMy3SUop8WAmnZgNev5h7TW7AdYKY+grIyTobnlJW/f32gJ
uRhNYRDtXNf6JQ8rUiKIs9sHEbvvAkDSGWnteBPWrlr1jaJ2jLphTUPhb5qqaYLV1wPln5NVZ+Dy
5yfrNv3I8z82oPMPfTtaQYwQcIYgHFEQEWo/IUaM39hVgXQDpoNOaF6DfDtaQcXpeBa/Y99+OFo9
0n8Mfhf/sIr920crv+mHARMN6Oza1FGGQRlBFcVJ/dMoIx8bB7KG6+Hlr5FzWmIqt/XX7EhTg9nK
2jZr/BcwSvW1+TVpMptDJycW1XbsnercS8ilTt4S2EcjZIPeYPk7Sqq2BaTEAau9Oe3zAf1j13vX
ias+U3Iul2Q9krtt4Kc2CGsBOmBVWz1gfJUTZF1qOy1K35CDm0gBilMQq+vEmBN12hoEtb2jkd7p
MexwE0lm5LGmphfeshm8MIhaj+hWSZKx0g0au90o+nqRa+ItzsQCHyP8TNd5KqWzhxL7TvDymeTP
FFEWKZrPHhqRFoP1Ag7ZB0j5VQKQDbUaRAPyDqtLaJgbQkbypdELin1oIElKflmrE+FoavW6zJx8
D4SfvzZHn9QUdKxNf3YnAWAjZmxbJ7JeG3APQmlsY7MLNnWCVlTUgbOOlXh1E9JMqIRWlUQ0K4ru
ORv8ly6Ob8O8uMTwjho4861N1tBm5nq+V5HjLLyIQ1iQ17LSFSl6ReYWWzTDJvKPLFvankcgy3id
Wcm+CRCLkM/4Zcx6F+vWbK4qfHhvbH85DV/JjqW7FOKzNbSDgCmDoeCEpj8hnxyUbN842MlUp05F
DYB7lBqyULvFEZZ+ZFqunvg+j631MmX2WfJ86dP0Kq1iPFD+rWridgkGJW7QqczubM0AG76m0sW1
Xf5u4UbTjp97AKW6Txvon0sL32bkuoTcEEvrnQ3iLA9OUvRbA+oEgIq41NdSj8pt6LveLT11x4YV
5AyEiWKyd701ym1ZWzLF0oMfV4xFCEowr6E+g+V/dAscZtpEMOo/x+FXJ808wf/z4xAnzb9OXdT8
6/ItIg73jwfj/OPfDkbGbxhVcDx5hu7+Xj1+qzm/Ypmo9MAoUe4Zs83m28FIYenxM9+jLH44GIm5
oIDl3KRKZWSPzu7veMZ/PRZdD/AO3nSD3wfe/pe9ZI1RvDGZpl0GKbh84xjJvxL/yK/yip+nyJjR
+UVErwkH+Oa8Hflh+5EBufPKlI1ukDj7POywbBpGXG+cbDgP5mDDU+d43k4zbJEuE4e5gO58axA7
XjAK9OyzUzseYvnAr85drbnVMutMuzrbtqYP6PY6hHs6SQ7TulH6uiiVjigcmsO6Zgy1HYaKRqyg
O1YoN7Z1KKs1PhtCg+xSX+S9fRU7ebAFXq+vOhKrgEIEqbEOSD3StnmmpuIWoHT4STRbvzFF5AOk
cxtdw1EwSoMaK+V/a1FKAhZCmenmLazHBBF8NVTX7cC7iCqG5vgSEO+FT2YpMDCGTEFSDceER5JR
X217xz6pzkbr3WoXxGQ+WIl5R2jVbZ1MJ+ZOD7aFCdy1YWpgFjlVtVwHsjqFIdEXQZDsRY1hIRjs
o0I+6+p4jfsAxkcE/l+HSzIh0K8tbC1xPAIucojH5JjHzhDvvDw8dQO7HRsidliSZCZ9lOluKj7C
tIC673nrsQD/3Xow4gLJCKsdBszrpj8dq7E89r62HbJk1zI23BLRW8MnIZpswm6sojMiPnPtAxdE
1ldup6ne+5g1Q+aI2xir4ipAX1hPDEgDcIx5MxARFOJJqNtjaEKo0Ubdfh/7BARUjZgPb+FmKLlU
BwGcRVKya8BUst7fD2WFbZ/oO/jFc5qIu8RMwVQviK1bS46ASgfZ7ZocXXzue8Yq88He6WN7ruxe
WwZeve+TYdwWqf4h7e4LCAGX7t3OjqaXEcgZJlZ0XeYuDcwgI6JUGKSxidUOHmSdLd76d3zbpJdr
F/gO7ttQ26ahb2O5rCG8uMvOZNGXudd9ngNMN1ZMWtYIzUhUUwSppcbWZZSxqkw+eCufuS79o5jg
AJSIix3Pe5ns/lzokJkiYtKsVL+a+KW9yM/ZDByVgtGy9mo04kPThn0hp5PpQ8NxHnioFu50cDLY
nRYcm9qx7quJdWI/vPUdA+fWbY8yS7B2jVeBH4sl2TJoPBLvmXDtZ9PDT14rcQIbSGi2vCR4FONd
uAynDgLBVG0YoN+hi7+XKN+GIIFSGgZXsme+zcB/jo6JjgS57i14LIupFw+lFt7hVL/XSnS5udo4
QflpOMOh8rTDMMC+aWL7UMXeNrXTbuE6DRmIotvLTrY3UsXMEYdZWPdidhoCbjONFl4B6cIwy/gi
k0OyQxxtPNP/OU+NW0CMGMbRv89mL85Az7oYBkCzktk2YJg2XFW/u3da3L4tvEuSX/SVml0+fUlb
RQY7XKT0qw2oK2dLUPDVHlTNTiF39gxB6gxWIdNcrcFP1GMs8sMSqM/sNWqlR4p6iHS7n51INEww
RQ3rptV1ZN2zXynocS4B3D72BQTV2dMUq6LEfYTPKcHwZON74ptfVZ02rZzZE+WaqX32Z5/UMLFZ
ANT2JoOYihEULbecx3dk3VFgYmSLR0g2WK+oByfGYZix2uKtw5wVY9JyYwO5PLYt3+ZbxsbF9J65
fYyzpf0EvXtJ9FAMZCPE8qbSZyPuNiGWsAJzOABdRtWimuWilKZtk7uLeM58xVI2ksYYYzGLK+ML
HIthW2I+i/P+GT7vFs5kCQure2lauSmxq1WJAs3qPApsbFaXP1qzrw29x+2Qjqccw1tbiTlGJX4M
wnEfYYnrh+HcY5EjKQVGVGrftJjnLEx0BFlcFLFcupjrFCY7oXATO1O/6SXo1wEjHt/GOseYR29M
QCxWPTl79obZvddi40PPGa7D2dkX4zYTs9evmV1/Qe7cVX10aE0GmDThpFaGx2p2CmpRfhXN3sEi
Dh6t2U1o6vXOwl7IcUMc5XA2Z99hFjonFyMiXP6DaK1nrwSeglGxdBPwoe6OBpfpAU7GzEheNZeM
YhXtunRSDE38V8A/Bz7rVTS7IZGOQvcdr5vZJxnLhgAfbVdb9ouPkbJnESHb/tYn5AB6zbRpZs9l
FoVXOiZMf3ZjjtgydRmzM8GoCdYalkh1hzBpWiVYOfvZ0+nO7k6sN2wNjBOu+hfbL5gj4wM1Zkco
RBGBaRKXKCmoqGFn52iChTRnHLzRdPeS+PUCw3lVHZvZcdrO3lPLtt+j2Y1azb5UVdpcL7NXddQZ
nZuzf3WYnazGV1OrIoAKHaX/+UN9dvV7sfGvvMuuCAdqm//7f/6ojfndqkIVwgRP2L9oPkRikQia
+9pFHN/byUPivUnrL6Qxf/UScwP6Q5UzchXbScdL6PNuxrnsyssh/gtV0SxN+rmSmv8MYsyoDU0b
3tDPrwEYb4TPEwWXOh4Y17nEZjcMd3j7/vunNYstfn0ZMEWGNEybha3+yxgyKOLRdJIeKQyDngqZ
f2NwH1b3jAZVL0BP11BjfxcB/zNZmc3lf95K7LrsrUi/tH/sIeaf+9ZDGPjndbZC5Mh+BbEyvPje
Q8jfGKsIi3h4UwqorN97CCmYW7N3n9Vg8KCEwRX777k1OfeU+3y182+dd/Pe3+khfr7yERZQ3Lse
txVKcebgv2Z1tt2oIIVb6gqHZxAv4/GmaP7i5vo9n/mHa5IEAPARjIqYtuM44+/9+dIXUJNBvzTl
lalIMW7YWjbkloamkROxMm+6VqTsDsn1VES2exHCRHxi2GAk165ujUs2iYNxMOyS1KRiX+F2iXw2
eWADp0iMi24yl+OYXvmWtkoLKDeNt9Oq4rbViXAdQ7GeKudmiJqdP/LcC3F65BFGIXZBB/LcLzU3
eUtHjm/fX3VluY8hU9HMiOUUhZdB26xdI907IY5NMdSfdTcDTiNFGh2o06iS3VJjpb5oLbWr+jJh
BRvfO+6uMhuqsfwpsPW9TuQN4+XyUA35R9p4ULtQG+C/+/B5GOA0KTHl6LgCqqbelGlHWJOjVm5e
g5pWMEBKR3+b6wcTLcRKyPyuF8HBN4z7emBQYETtY5KxVwxH9d7Y8jDKOoedUp7zcFC4ox0WZZFv
Lf2ivq0jWLaOLNp1MJpnqKY8WxvzOlVewLise9JiczMpZ1gzCsxwQ7afsYNowI0M2F9VcZUX8ugo
+pdS8uxNkyre2TquuLJlQDTEXb6OSoMxdA8gUZbTo8iKvTkjLqH23liQ+3hSpncqA5HoucmzRiu0
MFS590QbX6StEksA+wdG28glRIVR2Q2Y7b+jKtx4nQ3NVhlLQF8NfVv+6E+9XPoVPUQRiEPtdvWq
7Z0tHvR3zCPo3Mb62Dny3SVFiKIp+nQzB0QYGxlsWd4d6QmfMqItAW3KtFwtRYNTyCBBTgzusgiy
q95o3kQcE204W4sJ3N5jT8xWEnpa5M7RCyY5urJp1VpqOk7kvLtiDH5PRGCz1NJ2H5phjd8rvAVy
WK0KtMrL3AcML7EV9QzTpnnQ47nxrWH2S2DrM+unf0z0ySaw1/6Em/hiMcwnTZrkX3NIfEy6YXJm
/1PDbYrKJefKfTBWt7m0ykOYAKFIHbL6ihA6KACoPk5n11vVrV3F5+E4LP1tnxRoRoF9nH9IoexN
X+v3SZDeN1FuLAbQV0DjkWE42meruc+aO0ILT8IlIkh8W4MPxn7tTHZhrFtzTPbl1/xgJWsM5CWf
hjd5orqzAoUv0MY2B4MruU9009tbE09U21R3VWUwzio/MqIzoqQk1LIov4i2qlqwmcGaroZ4bdUe
qWDiR9rEVWr76bKxH3JwQtsxHONTRqEdadpN3cXePLSkEFz5WV2sehxkmgO1tPYQvjQpVeLE9RuY
IEoLk3WDBU+3RgjoNMuSexPaMHrownkKXesj0odqwbFW4ewVmwwHXh+S2uTK1zlGkjy0A86g5wDJ
0nzm3NS5WMeluCmEuVfE2Y0j8GkteKAHe25ca4VJ6egpGirHvRozIKpNu5kw1/ne+KXr57bUiVcJ
LJF15mvLpELQ1NSEtLnWpi77C8cp1nUFQ80kOCOMLLUoPEyKsatR+2vwluqHLPKStW80H01LF1UN
j1rzYXVcib3tbEwZO9nSzxXuVNDCzMPjbtS0td6PzoMT9MO2qmpjGQeDQbddtuVFYppPWSG1W7I1
106fB/oyjTm3FkkhS9pBazK37VjUyFwY8bpm9gCheVO36kmp9KGptGciMsxrvbOmKx541aZOq9fK
EPuwNr8MvntZTUiqU5ZkeebC3QB6sgJHiBo0TqNNNmXenczc8Rxk4W0UBG+xgbJLJbRf9TQ6zK2J
0PNzfVwC+HvODb5FFd7heIhhZIMa75unThTTrasx5fDnKPCS97cAQBAz50k4AzothdDZldOl1rra
nR2b5JCOgKQZF1k5d3nz6HtNt5Ktk+24m91VlbYrafdAA0Srtr5RF0sTjdZWUTQzOAYHHrRoB7SU
nZ1KPTELBK6spL1p6LMrBlYoaph1a/57VFCHT7a4Y2r/VIvhNrBqe+/J7qmYy258lf7FD7XIfyib
50Lvl4cuo0HolTZrE8ea9z0/1rS04CXBtVV3VbhqbYvL2L2zedcWiwc8b//9tX6uIihT5qURgU10
F+yQxK/a16YBCQ1GUl1BIfaTh2rEHP7w//cS81v4oURXKVhi1aXqCkwmcBeHMciLLG//H17EY2fl
UFuxtP3lRZowSdCyKXVl1ncVuljtQuv3//0l/vi1zJPh/32JuU344e9ou8INQOuoK+neZtVmyto1
VUjuvMbjX7zSPJr9+QL4+ZXmd/LDKyGAsujj+WMqdHEit+FWHroMzOS6zw4TEun//of90t98vQY8
ojelyTzcY0D388u1QQwhpxWKZcqTmP2v9l0QHsfs6evL/NNrzPmMf95rHD/q/7DEnX/mW58x524z
A0d257j/FsF87zP034THendGb9lsBGhBftxVzMU/vhPuYGeu/7/pYyT6GBYMumNZmCIBf/2dPuOr
SPh/r0Z2uB7nEBl5rmHrDpO2WT7zw9XoiDLQRThBGGgY5SWE7IDRhIhERrH0tk7vvpKWoDZVacFe
HadYaoescbvRWzmRET9Hhuj8y9AvumrP1o5Iwhiuib4m9KdzrkpKKnWFAeCiRGZ4p1E3Y38zJ4fk
lqm5dtMwfjEZi12P+ci2AMO+WAecu8CB8lmoY8gp3LRfNQfVjJ3YS1/LyPARrZM2zwC7Yh69AwEx
w7QywfNHzcbIh0gcsq8rhmCCdEs34MeURfMWwiNzdRXNm4mhb+1VPW8stGSs1qryxRaOn1irebOh
J3b9MPVhh0bVG+1pbX7dh4yGNw3r9OuepHR8jQ2kLLVmr5eTfe7GJixWpVHYtxFMSNKnnJLdy7yF
IZEwaW+x3ZBUZcsyvRxQZBvbiryA9Rg0xdOkpAfdkBSfGOR4WDj7KhWmvv7nFv26WZzl939+iz53
b69/HAXMP/PtFmVnyLpQsktDeYZ4nyPy+y0qfuPOpBBGpzbfiD/colgATA8FBIqB+eb98RZ1f+MG
NQWcP7BNs0rj79yiTBZ+emJwj5IH4whbSocFJpieX55NaVsDcyoG/bKNiyciEKytjWTgaEDpok8R
5bUF22WmnXoXdCPE/BYAFtpGHub6idEh9TMiIutUk52xkG4CBkvZCJ9Re7pDea4nbVn2Oqx49130
iQ5WVu1MyNGryVZ7z3c3CIX1VckqqmugsOcooNCiynuV1zsZhfkdmendMijLd5tCv+jK+1rIcikh
MCzsoHpPR3SrRUNMEhK23VAOA3P1IsyvkTsQsyzllWbaR99W3rpVOtp2pWG+Zv3GWq26Gv321emC
dz9zmW2PuU6TXFZ7N6fHqArtpk3d9MqDIEgGTOgtQL3MIXM0XH5kyyUpBxBS/JGoDeQTtWd+aSL7
ml3ZhdsSmM2d+RQZ5l1beOVKi42PMiHGBMvAfd3TNVfNvrO1cJFNYgeq9IuuJzloEGTF3nCd6/HM
MHrO8uCIRuyORHqHBQ4rptrQ70onRs/Kl9CGJB6maESwsFuvIwnIgG2bJ1exK8LKIBaVhRZW6lez
kgLQXnQdeUwEtQy0z2EcmbOPefmp1yVSiPzCnaJjPxbB3owb9OIe54WlY2Gqs2bp2OkiJjKFwGfO
7wk0eaVpHXZ2hJj1wmvTJtm5RZ2to7xxLz2jHLdpTpZ9b7PxzNFIBE39YVS9vvAmJ7jWugS9b2Sh
9e2Ti2o0PtPCGoHl24W+CmPDu0jDGtd0DvzHT9iqgU9INnlKKl+QFJdhVpdLPXUvlVaQY0K6Jdyk
AnahNBeNKA5dbVyU8M/o1ycQ2ZFEtNKhexYWyJGBGUIvuhe7DB+SBBdEjTqjmsN7J+Qbiybgw01z
wmngcD84EUR0v3jDB7LtKIUPMteuhVt+yhAwFzG8XcXoIOdQX+ptbe5t8rNLOzsMrQU5xbwcRXIp
zW5gfOHNW9z4UVf+vZVpzQ5RCWBCzbmv2wC6mjBOfmlAZnI7NlsVyvRO12+ysT3o5EJWSXwT0Svb
XfoMqPDN8mhMRCJAkDT9hVsn3aq2FYwePT9bLh+uxdMUmTc+MJ0ous4jEB3ON7nZ4t2FjUis/fhY
mjB6eoGNvcGaUbQTcDNAYok/kY6c6xcqVW8hnzWTt9In2iOqFoVRPpl5efaA89ouMWmhSW6F4b+3
OtvBmnGblhJ2joemWCZxB5ksqYgDAnuXj9aXdmaeVwayGTc+VT7NaIRKawmsEs5T8+LG1ZG5/71I
pgcBJY/3xxpSWgtPeed6IFOeN7wKpp4hFwhxF+Q1fbl+03jmy9h65WWAtnEZDdpw4NGr7YuM3KK8
j059Ut3KTvsIy+TGtXMLbRh950KafrP3HX7LVIdIMB25Bo7ZEWilpQTmoLDXcSm5prSBQzXTQiuc
ZIlpG3uli8AKYxMZTTNVWrF490NGL0MwXMdoNxa+pSNWFf82Q/9TCs99158/ZzHUtR/1x/jHZ+38
c9+ftfpvUO55nHoeXclMrf3xWQvo1qTHs20GER66mW/lsM0DlTH111y0GXH8rRa2qIVR7szObAjI
mOv+zoPW+YV7MRfDyInt+dltMi2nZ/65GM5KZNGjcO2LzGTPST0qV1Bqnh03WBdO92i09n0yXZNg
ujUqsTYq97prg3s/nZIl2x3yzWSyqvLxbJ+Isnw3VXKfwe+DSzMj2Ov8zW6JGx1VsCdrkmgixOW4
kDaWqP1lSM7Z0tDFi5b35ZtoUV2YfqrWOGL8zUR4qIpQL/pBfcgVyaixGT5mVnHKR+950lronW69
VFH1OsbJtRear7UtnoaedCZWxue2j4vliOxtVVbxsUPbs7C4RR5H3X0hyyk65iXMKKF4EOllfM9s
5wWW4bSXGYbURis2tktKZmW89E12Qe7acrQdMsq2CYCfCrEA+mR134XRsxtpO6UXj02tBQfHKFde
I5dZ3iMjx16LdX8YowvZTfhz5odGFH4pypZxfl4tKltdeJHiiIuMveTQYvBIgA7YzNs58NzZlG3y
zBOgWvAWt03DNLaFY5pK0gRaizieJDbce1/6C+LWmh1JWzNLCjadr52AOCj4/IyZ/ahbqyK+KRsQ
WnoxbaQdYoFL013FSqnWQrVqjaZchLW+re2JuUzfXY2uh2YUJ5Puw4oMc/OjjSJ54NnJd88M1Aom
IhXqN30aI8LB7BOAS+qdGOS/72EWcE5MKaFheRdZKVd2bGFqZFyqgnBasFp2LFJyWznYq1S3+kUe
MuqkPhqWtqIOSBN0PqnTQF2KCLmgFONii+Dst9lE2eO8WqW2B/PVbrrGIBoDdYVhjNfKAd7pzGl6
lfk+zuwtskhvcoG9MuSb00rznqpxUTG0XuuO7Z4qGPapW5zLmAl1NjyETfNWVkjAhRrnStDGWUVv
h2YID1sSt2zHWya7VfLYRTUiBBe7UBRm13CeTabmwy4TbbFhmw06dLQV08q9iRB3GTvkY2XFsSjL
S4nMJLF15Lepvsyw3pU95ciYmmg08hfYzkcGF+diwsQ6tfnBb9oTLLq9kZEVkbKgB1r3FqP498Jg
a0ueQ7bb3Kkmui077T4q7L2ez3WG/Chse5/owaWm5y95k7KvJrYXQcBJmvXR7Ipz1ycEcSbDdZr1
28GPTrKzV/mkdqVXIATDowSgvgrCQyB1OMCjeSxTdVSNfqWHErUwUGU/aJ+Uw7agkRMOvPaSLOcM
gYBzqD3jxorKYxKRs5agiRnTrNvjECFtoD4HpXOZl/17E43kFQbGbVM0j7injv4Qn7sQeFww3uQg
X9EJh49JGm5sFT2i+9taQbHL7Mjdj1ZOcgc5AZHTIpHw5vAQ81rGwR5D8nWm9UjB9GoZdsg9PP1J
HxTLIz0lYsLobpA7I0vo8bA5wNnyKXvqWnPndNi6xnZFa42P183PqGReJtfbKo0sWA9HX9Q/5zXy
L0v/nIiVW0QRNtXGf4pQnjM0n7Q8u2ELhjbORY21cQuLs28wzYMmWYHXdnokQOQkEesNbQceRnhH
VoyXsk+PfjCi2ymCsyKrbx15+VtPSuuClDNYlt62KryLmswr8sWGTVbpAuqweIhEdxqEfDQT7QLy
wu00f4Wma72VYuBuDNamoY4i0B4Hvb9kZHqhI61CgcM8f1SvhoZjNiqDiPsEs2bLd1ELa5N3cDAr
N3spTfM8ejil26jeJUW8JRhIrRpbPDi4MioCE9ANrqxGu+4jWywNecdeaY2Y5Q3xzu1ktcEpt6py
rweAarL8rM25AH4FXnyyXgjf2mK7odZR1i5ubblW9WDsEvaRhhF8JJgJUR4X+nFEFCRw6GyEgIyp
A/F1KiCeXBTl0hiwgdqBvmuy7qlR0W2FK3zsgju/bna5hgt6UO4DvNotf/NdMKaPbRXCQJBXFNgr
CG9LI7YJmwNrbcniUrXBXaRPzcq1+52WTgTaufu6sa//h73z6I7bWKPtf3lzaAGFUKjBm3TuZmgG
kRI1wSIpspBz/vVvQ76yZVnXd/mNPbQphu4GCl84Z585tQ61Vrw11plNIeQN8pD7TtwnS1a1SSMB
OZIwwd4aKA69qwaIjrdNGzKxt91QRY9uFrUc/p68EDk6yowybReCE82qWeLZ7rk7sbOT9bLyal7S
NJUHvIV7qXMFK5bgj6ylNyMjo1qJnn2n7vtx1SMKICxv63h5vOMJ42LjtaHpAlseEYkR9H0gFx3v
15LFWPSqP0F8o4E0pve8bo4ud/EqIYp7bcd0kl5E7ISbpp96NK6Yu716I0M/38G+lMYqiz3MCZm+
HKy2POeV1X6OyXELaf5qY8lZcW+bIZ9x1czQSgdSWKFMZI7FRBlK3WwZl4Ndn/oyuhE+MTljvCW6
9zGrgjsNyLqrUIZIQrpF6oNitKrPweDGa6mHbW2xPkFTue/Acm7ttn3p444Ow39yAvuqHyYeMjC2
oWGC2l/BKf0IYHja+DJ85mR9NO36EAzh2XRJwYntC+DxlO1htOVCYi1n2J/L2b2QUXYVRKm99kgJ
YlW5M8oMNzeP6Hpi9+LVhJ7iiU+T4q5tkmiFEPLI0u7SHaODVc8rnZRH0OpgZs2EYRupH2x0btWQ
3bdsAJHlTZsszz/m6ZDjYk8u8CcfTdO4YlK6phTai7E6tgGg9QTfm6wudNl+8hz7Is3ZJts8aW2f
SJzyFQ/1Nk707RhQKUxuuZ2DcFtjnHar9o2grEsiYdYNF93ImrBT6atnk+3SYP8qzOiOqNmtJyLQ
8aAQ7Mw7EIBy3yTIh9vcMMi5IfFV6i1Gj13Q640KMHN0qtm1sXXIOvG59x3WcNa4c0kotYkMobRg
zJKnFad78pkImjXCRr0aarFVSUcPpNOjUcaPSgV7259vzB72YdJaH6fB2tlx+anA24jJmihyo4++
BnXRs7ofum0b2teDa14H2v4ymmRGRXEJllXuYxUdVWSqndYBbpL5rZzc67ZEBsb53l56gotFF4ML
hAAYQjiV1jaYPP9c0HznDtbz1Pc2YWvepo5xmbbjTHSnvWsao6YzCq1VjVvwQHbmkzvE073ipMHT
MqKO8ruNMRSfRga3peE9ITwPdmVUfTZ7yhfT63ZJ0xOv1PCq/cA6EJ+Ie4aUIgC+4UHXRMq7ZXJV
0vImjGfO4Ocv8GhWG+FBgKzq7L23gExWE6mYDv8FH2tj9dBno5HY0Tk7DlIgVG27y7lentqu83m0
uNFiE+FoPSq8kZNzbSXRdTIka5jgIUKRubksg5oN/mgDdUz1aSC0XTXpEw4Q57Dc7h7pLCsiE9Nd
Uvf2kx+293np3IKciC6VnWNXLI+6ND8KTUVTuMSMDx2e94J40OSy0uYeUQOJxG723vmkv5KFge/Z
/4hE9BRhBk8gR/Qp4V2NaD9PVnWnxioHnyuvY0tfZzLeEYE4XeRj/Fil6skZMUxyDl+4dpxvO+3B
b22dJ7axR7WonGMzwq7f84ONyiKsK2o3JVlDh5gIXagDi1hefxPOj1YsaCNqdPtkpX9T1ye2Z2zF
b6r7Hzq+Xyw3acV+3G0hVkK97EEK5RmvmJv+1ECJyDTxIeTROcbAmedXzTyulPM/toE/bbT+80s8
y2FWuwxZWbb8uLJIgrG22SNH8NaPRn5lMp9bAiWGj3//WuhE//pa5IJBxOgmTf+nqWvAyJguwKRw
F+9D8WDY/xjRqZADWsSEmzSboKr//DIaFgsFWdrpOR+40A5+wBT79+77F5/FL/5+iYmad4g3ykWw
9uefr+XC8nCr7OzTd5ATrf4HVuynPeZvH8MP789Pf7/jJRakF94fJ9sb2TqxdjXZKaBZ3tJ48/cv
5Re/CvishyqO3BEI9T99FKkPWgLPSHIGGtyhjTJX0MO1s+YxDH/273/X8mf/sRBbmKN//liWS/yH
hZhpRRnGkTQ9l/YaVAPR3dxai7S23/39L/rVi/rx8//pReUyVkXn//aLAKjkmKvDHc+R5VFc/o9r
7Rf3Jft/i3k6T0db/IwVtd1cFDx483Nj74L0uR+3bvD69y/nV5fbD7/i58ttblxqJdfMz7n/HAdP
jvH/cTkrix0IS1GB6fWnu574Y7d18P2dY05AWB/p9M8hhixLcFxDJPim0mXX8+MnnxtsFFrPKs6z
fB7kdbfAgdr/cXb96kPnImZ3S2ypYy0zrh9/hwqzMgf9nZ1rCr9p7SNfdG9xmRZQlez/cSX/4nfh
zsXibi2bZ+ZPf/5d2BoZssVufg6XnnobMcietrICv7IXd98+/H9HnhaX+e+H7uaZsK+3vKVpvX7O
3v7v/7mIct38dd65fNP3eec3q6LjUrxanviNgfH7btH8AGmY6w18xrfZ5Q/jTsiBQP9ZRwI9Zkr6
08STSehyCxD9xkLyHzgVv+VJ/HHYfRt42kxQ8Uo6HuWv89MlYgV2OyWlJNx5Nuz6QagwzXK2ABmL
qNDomEfgPI6uGj+hN0ALjNN6SG9Ng6PRtNNsU0f4DNatNPFlTb7XVMesqEENyt5esh8advUYMU6D
nQ4hGr5iTm6LLPlUDtmdZ4VfxoFEKDav15NH1+jkLtphOdLRVeELpHiP1NxcUHihzZ1MY82cYI9o
l/G+oCQc7OY+tILPAB0Iuy7MeJ4AWmV6fKQRJWMo6uZ979ZJWWxCfqq3Lrqpza8cY/IOEwPVaJms
Qq0ctuYybQ2WuSvxGF/0MoltvSxYW2WO5QMtKlCyQxUbB2IV29XIIJdOKgZqwWx3drKHiGGvuOLG
vioYAI/LJFgtM+EgDT5aDIkzMgoUQ+N4vrUYIQ998wmP09bJa3Zu/96Iv+34eaT99xvxiWvnr/fh
gqr/fh+y43ep2OAlMN5nbc+V/vt9KD7AmjER3TOqIYKac//73oFFPsopSo5lnb+UgX/ciD43r216
2HBBLQhACP/kRhTfqsk/3YkLScGx2T7YEl2g+unh09ZDnKciJsOqDYgk9duNDOqPrcjCdSyYw81W
XnyMeis9izbL7psuIAnPtIhanQNrbdFqaVUEsPUc+3oJDNy2KZGTk4zfbOxu65bn3kVY9S+qG8qP
xcRmMKnS8UZpXa5Z58m16oICmFl/VZvc922uNn0UFme88zBVh1zfkcSa7ztOK1AggbVpLOuBtXh6
SOl16UXtfel2R3vyUXB3sDYdLJkEJFE+R6AcHE8RX+cNEACYQc0ieqicobgK2efv2hmeHoQxgDi8
BefI8oMdja5iJF8scaGCSX+mssNQSrUB3qcOBLkQbaHl56KBaOeUMaKELrvsqmmfKBKmCYJYtUW3
VgWDEzdkc94520Rqcyt0f0pqA3eg/8i7eVVAF+QpT1JG4XXZKk/CL27vMLhX4wpRxSfNfLt283Rb
hhrilI7uW4dlIuGr3srOLbn2tD4kMzYvw8vebI1yfMy9k1fTxrdz3q2UG5PeYbh6FwYD1mh3hp9G
B6y88h4B6rWTTi/s9A8sewiMK+2vwdTcGA1UvAR2wapulxULSRj2TF87B/O1W/CRtiWN8jTcJJn9
Iuz60zwkr0ZAhFIRhiea9LM3BCEyAKsFYoizwxjEEe8AwQbd2GwGrc4IBdu1yJyDxyakGDPSomEd
r1wrfCr1fOs4zkVcMQ82mP/CFUtIvAmWlYRfJf7ZnszYfkEX405HyRBoK0N9YWBxZiwGj2KDYZng
aem+GRBwos7HMWBMJNoGGCSpSK7MPj31MaAz6eLBQKt+aUMjW6U95uIAORpMDz/aT26CI5SEkcaY
xV3tuv2692siHHTyWonSwUUSTdsomxhlxGqHNgPTJiupVR41wRHiOSBilyzlgRt8TQTSwdblXZrn
I1e2cxx9GGGLQf1jHhIrFTjOwSrycVWzyyLqxMs2IhjWs2OCwJyCt2kSh8jw3WPiuh/rNvgiyGlc
ywTMiFTXKNjTIz5RhphDZ65k6h0Nv3bOEmH2irlsuy6tCJt17dz3CVv3oHUvmXuVa8UCb20a7qlO
u+gEY+KiclLrWBURn1ILkML+3FjB2Rj0buAhtoNUtG8roBprldX7hoc3ogpsFFX6EqYuQ/aSW53b
pCzlyBvL3DpsTrAwy2NiQD8kstY6hwMxtUFnhHfABTWjIFwhnR9c9xX0vFh5WzEp9it5z3Xe45AP
yvF2sgCuTVVJbuQ0E28oRHAwq5aRQlM4+0kHamMSSnQsq/xCh8QrT7qzT42nZ5zHlrF3CuK6iqq8
9QxV7+ZkOhmm/lwamX0jYkKFOP2So4FKaR0m5cmwh7UeNTT+uHyqZKzfm5zkzZDb+FbG8RvJIq1A
1mK39W8187+F7ILs/u/Pz8vn5O2vz8/le35/fooPy04cGtHSvpgL1vj356f9gQU8BSmIWnb3Dl/6
/vxUH9ylpZIcLbaiF+EHfl/d+x88fGdoTlG22eY/tMshxqOZ+fPzkxpa8f9BePCc53H858bKRnVg
Vrl7TvqUs0gzTb8fxyQnTEFEyX5wUB1N0tFr4mk2OkrTo1NjLlpyGg9JwFIxmwQi7MFUCVkwvrkb
O/CbznIs2ZxP/nJQDcuRlZA5aiyHmFyOszE1d16GNAjDwU7N/psb94zo2fFvgm/nocfJmI/DBYf+
zvCZMKKa7e7avjmKfvS+pKMCEhqHJJtaVJRmcZgxxQxC31VW3m1Mb5o3jcDBk2f1oZ2ta9WoNxl0
t5Htn+fKP1JL3EfEGBpF89nQfnmR4y6uQnWEyREdSab9nOLE943wPhPug478cUVFQ1RiYpcg0PQT
hcHR9sttbAawCdJnkuMYffcVER5tP+ybEJUcbFBid3BD1TUSN1moi8pm0ZnUAuJQel1RuKy4S6+q
zHmuw/bMk++9XXKAVFus52Lg6AjKUyYTiTKnPbjKZ6fCJN8SAIjmXG8TgT2vZF9jy+k0B8Znvw5v
p8FBF9HGx07TileymamiaSN8Tmn0CmRGoXoEO/cErHQPXI14O7ued2y2QGWU4WuTkSTG1NvdgDXd
eyTewdq395kvrhnsis3QpgSCwNstg9DZ2vV7503mwUs8tQ147jPK9VidWO/GyFKBudG5ShHTEZOZ
r3tZffQJWr80CC5L3Po21c1B9XW/cnp85G0p167OkRqZevoCGvjka+erBAsDyzVWa/wwTw6CPlc7
jPTn2wrbS19bTwMjah754bvMHGKvhkRtywYIg5wOCd7zVe1YJB10wxsPr4KNqQtjodS7WHSvU1gD
y3PtnewT9v0WX4/rst6JyGteWPqKS6CDVCfZwjJqMYOmm2EhHPH6vUM2LdijwI0Q2fWwvKj/fMka
gJ0Vn5SQWLxAtbIgW97xGezSKgpaHO5ttFMGUArkf+zYaMNAWfTmeeZmuJ38WO4Tw2cJyNOR3aM4
2XZs8/RWkBr4njkqjXOsgTHL0SzYZvXgo9wKSkBiTaCZ7Gg84ndzV2R7RiffH2fk6O6wLdBB8Ogf
9Mrs+93QZq8+m/0KNsuKQ+rK7hirw/e4hU6mN00aX1ceWAdhfYLdON3XlpE85dbi2K+y5sZmN2wF
dbn1Wy7I2rOTbb5sKhyEOtChbQyi3LM+fuB9JghJljk8DWvoesgYDnSOQq3Y/Vwlot8mCqdeV9Xw
hVMsbCJqXurO2Fs24I7ero+5B9+D+ebJ8G33BFva3xRlbK0EltIvArk9mBIsQZ3uvZWzNJp5KNNN
hIqSDVyarWdKwdfKEp/jLAt2quHfDvXg7/N55FRKiCosMrSnjRGbSNmB2lhi+XwDj6BFJ7ioVLhP
h+E64o5aD3N3ilV9Gw68asqPnaWLC2siUi4jyKlQaGriuYZjqEjKCiW0NFaRdkt2SElF18bhtMty
YonciCDXBRRb+O6Frzv2XaW5j9zkyezrfWc093PS91BfYX2Tv8w2M7lquhrMW0djE8l6H5Tlweua
dxCxIcPWotuURsoNi8NOkFmcfcyaOL1UYX+T844CSojUNivYeevKPLhx+4nRwW5wygtAsW9jIRDM
FNmpTVi0aGvcM7++/7fD/tZhL7Lyv6sQmubtV1YXvut7jcCsi/0PAy1hwznA5fRDjWB9gMaFtJ7K
2f6Tjh5LPSUFuyL6b6Zh32R/32sE9QFQAoD9pVBgIvbPsFzwDX+uEVzE/Y7rUpGwcwGD+Ocaoe/U
CCPHG84TsyO5DfsAzEsn1QTxMwq3qQgu2jmBvzGRtZo8Wp0FugaHTtQey5l8u7H35uSywZrI5nkU
7bxNhjIv6I9zyBKvULdwZ6dlHczbVtcccWBbD6NnafWuTORQ91PT4CVvI+kEQO7nmXa2LAavXgGM
xU1SeVrMqIuSwVjwUtjRVgjfR2ubCQDjW0dacAgD/xs8NIFPZNIi7lHuOO5Dahmht5McMzhyOHBy
z2kPpdFPh9Geuvh9sP1xp2MQrFutY8xt6DMBmiejPhmBn75EIAw3SmOYXU3l1G+NlF1pn0U8n8Mk
XJkZaCCGae5Lv6RrznOG55SsACQPlXb27hS+e4PhrLLcf6fSwUqQkUopS75WGvGy0e7qPXrj4SLU
ZXPhL4eqjjI03C1QQUiljNQkKU4Cil+9ydCbr2rTYOPuQquxpsg80E1RhwRD/mz5C1t1LvSprI30
xlmI7uloqb1f5m+JJNvbTm2CCsPe2TdFi7qhyT3KNkmYqdulN4mJD7xSpJ+WPZHfEPO3vlFQwfn2
W4jY8cDMkMsCXTbgQLhmYM4kW23jpUwCffDmFMWFKvx9WNfvciCDsBSUSDKj8INzpIEb0YHtiyJr
Tso1440wwviKv5mNVeEVp4SI0qiLcVlIdICuHKZbJAHuflBFRoBpSG7ZkCHuqB1/NXSEVeZzzZ/p
25/TPAEWVsV6VdcO6uVBkjAtUyQ7ZV8BALfjvZV61S3Wc3CVemhvZURFMrNsBpswYQuH+pruZlOx
hO4R/zXOWG5HS3arJmuqbTDmycFKkVLimMoO/x6b345N52+Pzfsiff5VzsjyXd+PzWU0qRCceYwf
BX3Sj60Vo8llxigdtlKL7e+P1sr/sPxT7J20PLiDFh/x92PT/0B/BiYdBbNYJNP/yCHIdPTnYxPd
9bKMMG3BmgJ59p+PTcfP4trpxHT2OdVuZDxld5FVMnxLHXGahiR5mizg+X7bm1fDBIAIXjO0BrfH
maGG9j40ixRKHWpOjxHlVhothUBUhQx3zOs0DdVVb1vBpYtd4tYeW76/901n080tcrKiHA+Gr06j
mKsVhvr2gNQjeY0CMwd2NwRLI0HdWDbjlywM9amoFlEtEOONwJO+anwfW3I9PSqB/jG1n6cgk6fO
s/xdWxjDRU6CBXf4QFhrq4I17dw5QQ+66qKEEYtHF4DHHzOUYED4bdzAmoHRg88QopyswbltGUxU
86zfJaOKcJlZzAE3OEOMuIAdhm05OYpZDesWCfuNtvRnk+FH1Nn1zilznFvMRSKzNfbtMiuZl6lJ
uMxPUpjj8MGbYwRla2OGobNP0tzZ9svkxbMgsEauZhqTMQANiv52rgFhlymzSTpaXBCuizjKLwh2
UdexTUp0P/HuGMvUh7mTvcmWSVDTCBIxlulQxZioE/GXapkbZWmbU5Z68ZZM71Ooq7ld8k7CrTFY
9SY1EnMXeNYBL+hqMnAAjW6/z1o4GNPclc+sgeOrsXXejASfEIAqkFkAdTZDnqLR1vcAeW4zSdmf
jONe9OmjiIdWIQRtI4xT6bmvrJtCoFbTjWT+FR1LA+Ak3ilQJ7B2OYXJCWHulfaOvmoal6SPPLto
bOvNdRcKtzfc9yEneMNTZJ2YYGqzzDxLrQ55VuxZTF3Go7oCaLkPrQ7JaqqttRd4+Mzi3ayjczbT
X3httlPI31ezO125U7kpE+OBuh353uhceAGV7twFXzJRv9gDMDEV+q883/YYpB4qxRNzDBhQFmWD
sjsXU3ZdJS5LKeBQ3SukE2hqNpr1HSPVSzXk4O1kFiWXllfVRDlMaXEqFcsladXjpWaAcfz3MP6t
hqWk++817NXz17f6+RdzLr7r+2FMDWsKsezmhauWvewPNaz5AeI1MQc2J6EQHl/6PueSHzgjFRRs
BlD/Oae/H8beB7nMt3y+wWaL9M+wUCh3fj6MfabV8Jo4i6Eh+Msf8aOAgJXPhIDM0udAZTs5EQLU
Npg806m+ttv0E5fpquQo28zRdJJQ5fd5pq/SojuAqn1zjJ5IIuWCrx+aNbXDxVioYDWrGCpRT61r
GLd5FMFZLJCs+ln6aKqF3xzBK3Wi8tXqSiDXPolyncae1z95afZuEfDhChTKkQ6/eCrdGP2gH2vR
mYc8SC50NgRrGbgkprRWseu66LqIDIohSzx1qcw3VUSd29gO1ZPhOTseAO/90LzhC/cA2Zve1i9i
dlR1dF8k4e2ocyKah0djIYYrT/frwo0oxBmhu57hbjr8HKtShRz9snjx3fg1lDX6J9wb9cBL7GrW
FU1p3RgpRL5UXxXlfBEXEdvZ2gW7HYkbNjY3Zm6PKNrTFvFkO65Tov72WLd7MNbDa9DE5B9YHbDI
0KegCl02z2b8se+nG7bOJJybLQ8rmzATmEr3TUbEe2bdkgVUk0PkZBtDzRdhqk5hOxJtFZq4aUPw
W21/1FYJX7Wg42ZDjOOic8lfihoCdkJzfmiSAoZ24ZLg1UoEfmVrnzD2xzuVjF8p9qeT7kNrbeYm
k48s9vf24BvbUtuXXsVSwfFLGu8guJ2MHHwRtKXdpPHBqTSDmGJE3jrv8vC28Ix9sdB4Irkr4uoL
UMF532h76W3CRbMpI/YLzk6yv8aRT4/h5cGu5TGxlTJHmaOz1xaly9qSVKhEP2TbNB/HzZgFXwjt
OXq6Lq94Qk4bfui0IbNiR/7yuDHnfhsFVrvtc685CVHdJYEMN5JB6SYeXS7IDqWCib/kUHOkrnU3
v3a1aa/KpmM9ZaDgjpNcERlTyEMUC/KbJv+KUZra+KP3Vpc9Un9lXedDm69ZoSHXd+IRYmiU7ko9
+WvL8O7z0P7SS9STUdYs5YNMD20zYvLRw70xLVbEcHqVDq6WIUP0wDSYCVnXcxkreUNRgufWSZ0D
QPUnFYsXMyn20hjJEB+bK4PwNN5nRD/OgJE1rF4mhQhIDrKSm7xR3i3FTOucQGVSPa24eKPtWE8E
Ng1vKck9o+aeFzzVWeOxZZrYB01L0I8csiceIsQu+9iJccngTXWnx1HD1/SWqKAxMgj3WEzYBX6M
hDwhfwkWGkgYIsaJyd8SOmSFxA8BfcOKtUQS4Sn5CEP4XHslLGOUcHhz3yNSjIQdHnPhX1Ck3c7o
T2fSjgSpR6ERXplLDBLeJk3wVkeHVTt3ZgFt1eLn7iryk/wlSEmSqAR2i2ilhD9c6UND5hLt3rtH
GdksYUwFLs8iyKZTYUzPwsSvhsjeXVVjS6rb1HsnIKHEMOkx6DAUte0n0rv6YjeGpUPumVEX9/bQ
NY/FOA5PYyBgt3pm09cHO/LdL5iT3VPbgDy+SVEC+8e2MpwvAc/Z4Cp2WRZkKmk3nQo+WaHjbd1R
cGkEeAsCrpeDU4DlHWJGYQPX3dbFzb7iKnzqQCETtSpwIiMmZ9e5khMjqiFCLkzZe+vP83nMu5Zc
3HlRWmc3KQHtD53FCZeVEcdTAiG70/G7ruVtjTntYAzubgKqcQCEl65lKe9s1X7Npv6xcrGucRfv
/QBQherCVWXiBnOiiy6ZcM6W5rM1co4X+UBmTXZngbBet23QHCqS6LjWgvOUmGI9tQD/DBAxq5ze
PznmBVarxs6fZdGHGGYQWxJbfRkl8YvAfV/EI7FmYpfDqMbx5e7ZmnIfprTr0kg+muNl3hOiicuc
Qimf91EX7Y3eP6OEj3b9FL97dgjipj0GuY1FKI22FiPmleUTPJL2FZPgbLjPZhtfTsDpV2eZJtsN
oO80kdAZiwiMB6iPCcWp3ZsWoAC6WOFVd1HsMkupJe7s6qZozGgNaQA1N3P1KhTXTohnzdXGzq1r
IHUyf4Tye1Nk1bXh4csvTO9T7Pev8eCF+2FML4ZyLFb92F4EwPLcyqfDjs6TW2RrLKCnMmC33sXl
LlLmsWz8L8guScEzC5wORmGtOvZFORkva3fCzTeltELyXqqEQEHhvHk9C9Bh5rC14UTHGaMeFiMk
703jrvbqk9P6JAVGmNyjWh4xxXI+s5FJ+nmVGNE9ERjPVSePGFBZ0EyXfWE8JjYftUlyRN0VLcdN
v8ss/RYrdXCH4lgYfDUo/XdcoF/LxrrIRLj/t578Vk8uQtn/Xk/epM+vb/Vf68nlu77Xk8KELcLQ
8T+e5qV5/n1vCkyU3BRmn4jMqeaoQr/XkwS1sBVdUkcVlShr1x+be0mogEORKpgYILf/J7oj5vU/
15MUkxbpzFSvcLWcZa/7Yz3JppJdhyOHczvSLjlt8qnopztuf+5Ipc+ZVcWvVEc5x679kYdNvO5t
I7jHUfJuhOYOCYizmm0D2w/Xn5mnuLMkR2VUBy+1RnwxpqAncA/dOSrVe5OTcD/0wRW1Zb4JS/nS
2dG918+fQqS3OJ54dKHsWI9FmB0SWZ7spYPKJM8jW+W7ORX3/C42dxYZveTHbaD3WsD38KWS4XUF
reGBkhoXY6K/xg3BTpg8YDWfQ9ZzhYSZR4l2K0LT3FHlE0Lp9DejwAGIZtpbSQGNMYOCQNAgI85q
bVddfDQdpDxDaR2sEMMKC02UU5gRt91U2ls7CWCxpOhu7EwdaPk+1qql1Vabzra3XdmYq6p2I4qJ
6QhowFm3eejjxZwfXfU1K4JNLUZ62Owk+/ZzZ87RuozJY2H31dMGwlrxes52d5zeerM49pZkxAtj
TZnho7boTjngsFfiOcInw0B1PsRCnsl1uV423bqoHwvDfem66UIWCYaqeUPzva5IBeiC5FZMVDEs
Oe983qEgolYzCo6mNL2uHXXnReZLMqKmGU1lrVwT4rmSw0MmnKcYR4EoJTONPgc73lnQv0d5YYGy
o6rO195sIq5ClDXklAd28FCO9XXZGRe6RkfUpCmNCOLP3vhY2ng2w/GOQIodI9bPEOhfSexk58fZ
ua5LJq/z4ioUTfUup+ne7DguAVNd8TFdDrHELURcrPOOGxLi4lKUdfOulEUDOop+AZWnFzMEMTX8
0Vi6qzovvtiE9dgUd8hcx2enG7i+LDRuUFcZkrTFpdWnXwOuSFXbQEVFsQxVmRhNh8Jrv/YGmEkR
2h/dRu91RF2FCuDGMgeEVpiel2CBcFUbU7wxwo7nFpt1EmaTx7jlTZpzpuhuyDbUycRd65VbVWaH
CTyj2jYEXJwgbelr0RWPY/MEo8TmnnvKGIsUSyURasx2lIcPBWB6luO1OgYJDuNCNuPe6XFSmt3g
rLvKItZ8mSNHRvmOmInZChOKNr8NwiCetm2WVPND7xY0dm4/+g2lf5A49yBQcZbjAHuMnLjYOlZ3
byomSQGk0RGS6UYNuO0ZfLEDVXuSZBsQPb6/aYc6PeGhklsiIxaLo/1U9G68ZeDHjCbkkqbe9lbh
WK8jVP1rI8o22lfjvV+O3qJXO4/h/FVApkOM5G+Q2O7Modt0CdEf8wiWIPf8cEMqKv4oeT067BbK
aD2b/qfIzXcAQoNV6+OJbttj5IPmxe+YjsVNGnW7sjcot4wGrzmWfqNvT06Y6+s0GR8SB0zXZFt7
FgHXTVzfjFX3oBJ1qG0nX+tgeIHZ+1gUoDdNySoyqIDw0wFVzPoW//WjC09oVcxsMVGOXg9Br1b5
gGwpCdNLc5j3/F9BhCs0/wpCPTa5koWzsa3t5H2aq4cylo9lFV2ltfNSN7DrzUyevVadvK4wV04V
snmuBoQYrTbWZmC9mGN854v8kg+vgrXPzLNN5EPWszSfU7tdu4MfbjHZbbzZcDbKRcEVJ9BtW26m
iVtPzrzOUBwbzT6WHfAd8cTHTlgn05IXQddeJi74WljYsCQog1ZBT09oRxnzROnHG4JYZhCS7ZsB
K25XqApRY6eiFZXmNdkfxrZPu+kgsGjOOng2puwyTOYHY6LMs8bplblDfD8t4KcaAlTZgILKFiiU
hA414CHC2m2WyKzzBwi+JKaUr9Es27UWZvZxhDJl5OJBig5wasmnkcqAPhZQlQ+bClHpUWYlCzWv
g3XL06FsIRYNRABkKdcabujBhRagjfpUMz2hUkp1vkWQ2uyaoG3UF5E1rfxXh42uCnCxwEb23yui
q+c6In35FzO25fu+10TM2OxFE8YiGDsPAZ0/1ER4IpSLKx8dtoXu+o+SSH7ApIC3/Xsw6A8lkWSD
jDxbCSg/TNGZif0DTwT34c8lESYwBykZ1ZBy+DN+Ms7FtZEICWbqnJkIJ9Aok0o2WmboH906z/UN
ewP3NHeV98ULnaE+KCNnTzCMxkCShWweVegU90pF7rwmpm0odnYu20+N3Vl0q4y8tl4IuMqJjMdR
QJ8d9YyVWIgEB7934xPn2Gnr3PVwOtPpedDzswgDB+Pqndf42ZYQyL1Is+gsJqZEVuJtxx5EOld3
6MUAAJolEqXum7U2p+ekqntaIaRBndDN/2PvTJbbRqJt+ysv7hwOINEP7oRgK0oiRTWWNEHIkoy+
7/H1d6Vcdtkqlx1+45pVlC1DIIHMk+fsvfai0eiGo99MGW04axSe40LJSWU3O3dnBDWF2gAvOrNO
Rm+eMjgGy0S3XyZ/vCRiGhN0rz1VeXVd6uIxdJDQFD72aHLAuwWDa9a8yM28oi+AjhjmKbbs895p
7gVQsMTK03NI0PsuJKu58hk7GI1NXGodoDIaSiKd5+TUVyWy8Lm80OteRtlwNKyl2KuGo74gnY45
T4oUq9XH0BvzID3PGZnONrArixDiRlPLZafWr3NTT6hxxhRxardNm5iyM9tqnOkJnY45NrueYbDf
UBCvOTChoYJJwi+lITrtHXMb5fyX0Y8dCtPiLg+TFw5vV46BzLZMn7UkvLEKzP5tGxvnvunv0DFd
RaUMMDTt0ENLCG2DZM5A+kCYkZ1Cy7qhPqOvZ9ovVpHv50k/lZMD0EN1OCfntr2gNxUvimDc5xLd
pw4IyYp8k0YKKl7Jy2k1CsIqv4utJl1abEBrzvcrq8SjbFqDpwzI2EPVWRuV3V92snVoT43Tohjb
tYmV3cFNGJcAyK7mHnmRqYeXOdBr8AdkLcdTd1tP8Se/hz5hhUwgOH6siVn8aAnn3vYDT9TaU5oF
eDvlr6H2J2UiqNSfD2kS0UESa9c/8rAWl0bfnaducoT48hhZdKtyaNLresQaD+ijhZQ57VuLx04z
4/NCEEWGvAn1g/NRIfVoAa4/8rR49D2llrTx5NIss4Pu1ntCDI59Q+eslSK7wDbWil49kiFIUpAg
i4j4Kquwz8reOkwSIoTYaq+4/jroKxoSfnODGu2TpYwXtdW9Cj+7YcnfaQSExX2i7dTQxvKTuqSA
F3wPTL9fUm3gFZspQJ0xRZSUWwduHifCEN5T0pOnpmYH4WvHigxdJj6fFMX3nALInR2iXcr07CiZ
wjQCwr2dtfnHULL60gl3NhCadK/AgcaaAOrHR1Pr2Vn2hJYgWbVTeqVBUUmVAiso0ZmL0DW2rjOf
p3l70WkJvT/jYbCyp1ZnszW56AADDexD6rs7UIOHJlU3hm5s9RJ2A5EMBJ5bxgKVd76eiHE3hIwN
xiAxmeGZC+plH2l1ftVIcuTZiPOeBSLvCQTQ56XrVsxbY+djl+UpbemMo1UVkdBbpWq7oYYGVJQX
UKVGQxzHyUDUHWmXIS+Wx3dugk8GZ2z2IGXp7I0f5wobSa1p6T4mKWjT8hGshlRJtxoaOkoJzdaJ
LPMDgsytNty2ik69DPMvRZOiamsl9pP/5N5ftmlpGfz3bVqGLS4gFz/VL9HP1Anyp79t1sYHAOI0
KlyHQJQ3UdXXBgZoY0dlDmzgmkKopeKp+trAMPkTnEyuaTP9+hGOqn9wGFzJIdZfzsc/2a2x/r7b
rYEAUJegEGNghxhCfdfAcEdTIROaBU1JHLE0e7RNDgvszuqn6rGvddrnbdWyt1nQyW0vSGZTxmxV
TXwLKy1eudijqGFrYSzzqgxGlaAhtb+ClVNMT51maCRPBECBO2IY0j4WFPSQYmlR6m9+lsTWqhl+
iVsHzaZFuxheOy1d6tpsfRjAis3gaQ7m+CYr0v6WdL1YeGmiTlgXnQxZahyH67JMCZ0Az4kvkYiN
FHTyXa71CqCouO3vysyVqm2znGHs51iuPKWpcg8Bt3PUk77kNFvFD4pZmlu80+T3cYL1D7aqBc6C
A1tExEHldF7mzxlK8Mjy8UUJkh/VzMv0uAOgYGeXtpX3pwwuMU3ERBhoM/N+2ykElHRp5eB2yeCD
uK1bzIu+7iyUaU5k2l6spfaJc2Axo0/Noi092Pk5E4oOtcqYmtybVABF7LP4oFCGGHoHB8zp9XZj
1nwhzRIQZP8AU0nTiF5H7WTEWkcMe/wllB3yl4xoR6+HWG7rBg5/bSrrYGOr7XzV1D38aDdvrlzo
1YzWwHAvUhj/N5QUl66OOYxiTYKocyXoUb41Ki3c4A1WHQoJriZBJX5I0kbcjG6XMtS3OpQDxAhE
6VbV89aG9Fn68a7S6nhEwB4ZwyuM2+DVBXG4YfH04WCFKAAjF5pLozAyyhQwCCS0N/chIQ31oVKo
Nyz8av+1XL8cMHiB/33lunjNX4rnny5acmX4umgJ8QGqOe+hMCCcvemmvi5awpADfjzDZDrTu3Ox
dP61aL0lOOEDdSGXMGA3pMfk6xTf+cDB41vm0x8cL0ho/WHBcnChmrqwmeJj7XahMrzzXNv4MRwE
ncpBU1Kva6n3VGN+9YcwWHAGtxadroKEjNf1FGQpcaNlfXLrTLkSdq/okKGK3D4FTAId/BMTOc2N
Vn9k8GdPz6ZCxWfRpoQahvQbgiJycOHMm6AZ+C9OPRtcqBCDpWwc4/a46kvFXdeauAcYoz4HFTLz
SozlupDS86FDBN9LOXpb8Hd1KVFnbagfyzfZuhSwz2Fvng25fRbHNaQr5KdkfsOfQffeie4TAVHs
5VISn0pxfIpK3kEtP0nZfGabK0obuLhSUp/VJGm6UmZfT3g8IB7TyklGVFeo8XVaBSvIeDN9GKT6
sz6gJRibY9zkVHpTmz5Qtk/XmvYxMpqI1zC5pJcULi1cAMi1MPDhC8CyCC2Yom5AyNBEA0xLxopG
m7YLR9oKbGkwaO0hOsvfTAfSfsAoUl01b54E4i0HSkGMCn0Jo5CvRTkQtjQtTPwMcVvoHgTjs0pa
HZK+GK9maX/IGyO5GnFEFNIa4UqThP/ml0jmOVpTvGLW8fQcJm0snRW19FjMb3aLcTScJdNnTBjg
puGiYXL3r00uu+nfkqt5sPNdXvcorxrsEb6lOBesTjSP0bFdJASqwOzTyDu8Yj19SEMTIFpuPQV1
Zi6Ghkkj4QMPCbvFym+hS7uEfbdKcJ76UBideDqkTK7hRWSfw9lcVnrQHggpnTzwu4TZ1g7iOHrs
9NSsXd1X9pkwS83rwUSFMY4CjIcbg7DgjVszOh1NOqHGNMD+j7py4BdoRUe7su4HYVz08CvPJtrS
WoFu92i+ZZDRxZO21ZF+oWiSYInDtz3HLY9+gwftgHjVWteVWe0tg/JTKRBe1YNgEDB3Gz1MH9Pe
XsJM10gkGZuzYcx05GKBtjYN37nE7rVWMvdFKA1B9NlV0XW3vqJfNCUtpoVQystJiaadkBD/oJi3
ikkyYNaa6Y0a+/7KcV5bElOj1CbZ2T6fQhSEdhxuqnFaWYxlueeDM+XnJu7LuVf2phadZyFDvagz
/YvcYU6fWaW+7sLgOpzGAO1duqvjfptUfElOyClmILBeiW1/wbD/KegG3kArOox9QRRVzjFCafvM
c9zK06x050Kxdur6KasRDBeMXAoAm3bE0pKt6Uesidvx1L4p1nTTTmUzMHaJd3ZvkIKE71Ijnz5s
zZD+RXrrIH/kuHlLReQQW+8WFjIj1zrznflzWWknc+52Ngw4nRxouLK6p4ZExyqJh17+KbT0jVX3
qwZL+SI2nWOT5CenEC8uzVvmKlBT3elkKHBOs6q8mAhwVhLDK/mOs7jDYYVZOcjw+M4QNhlzPiNZ
vsHGTChwEu/qLjzCRD1kmFWxmu38sdjaGXjYgMunpnqV5ePlVE2emKdd7kMowz0N1WLDMXeL8NbL
SoYBzbhWTHVkJYqeLWqiVCm3CqanJMSxWhZwOFVnlav0/FssbXEXHEWLB6cPtiMKxqxQzhkgrac0
YgYLVCUZoZRlnzFDeH6tLZnn4exNX+v0tfC700j5EDsqDX6wY0N+b6LygOFNVhzXaGsyocUBXdF1
01prGi4MqMeTMbo3aTyLpZviwSkQKWZG7bk+5m/iqJCLq2vyRD9PVXTJCrdGBOU1IVA+B3dY0IQ7
XUPxP9f3qtZyOHSuLau8d8LmFDD36rKXfCpfK5W4IQTzC1uP1pFV0gWdlklgrEIynAI9vNLr8KLo
9RPH5M8abGFRqwt1oEehqlvF7bdOo6zVML2O4Q+3pnZLU2Zhk9C0sIDw+Uq/b9Ruzat42bjOWtOb
M90HAjpWqwDAKo2bZllUZM3SenseuuKefwrVF2rHqSE0gDepgrU4AL0fnpq88XJH2adtsZsVe1VM
ONJ70DmhwiZBKnDlofTCvWzZG9H2H7Muf2xxLk6lvUOwhwcAB2HR1tsc47Y6ZjSVTJfEgf5+qNWP
RR2fCkVDxDByToZdoLmrIG+3dmvydNrAQ/orYkj25YzhTyEsIbK3zugffH3e5QZMRF+7CIvIgT1A
TlY6HUtf6gEGst2cq7h2zzGXPZQWcd8gFTzhQguuLYrW5pA35gkfnrpwtOa6M81lX6LCqWc6TmZ6
npoB6MhKhRwZXNRyoZqL+ylp96I2N2VJwF070FkcvGaQRU+OSiG/rcvpTBPFXhFGeFB81f+EpyW9
btD4e7NoaX3D8h8Gr8enqijxC2Kf27jNEBLAJmay1z4YJl40+CVwV5lwai9WpizytrpP6nCnCu3A
eouXok422tDszTnivUxBrc+q9hCaTbl29eQmq1voe2OySXTtiP44pg8HCK4Y9DXWoK2fWN4gFJCu
TDz6hnkDAy9PmwRgwXhlhvkRzRLE5vFszKeXUilXChTllkAHCXnhDUDeHPf2qusCUqCV3ENZhQqC
s03KJoGVdtsrzkvfm2tihTdBb68jwuzzgsTJrEHkEozzeszyPVOVfd2aN0gHMZq0pZc3dJYw1cN/
Vs5yQUCeimyD5PBaK3ap0l7MNHebunzunHoVxI0L22W86A30MZnK9vddSfsTchtd7u+8zF8qRNrS
FjIyW3MxifDn3yHImKjVRM/nygH+YhQniyI5KehBfn2Rd5yztzIUkYGEgmE6ZL7940WQYKoW2gPl
MDqfarRg3cNY4MIj+D38zZV+VvB+fyX5m3x3O4UPUx1IiXIQhIgaNHpsJnvzrrDu4u4xKizv1zf2
00+Pt8k0BG0s5I8/Xk4gbXP8tAiOvfLYdvsqeM7T519f4md3RLVMsSybIqCTfrwE6FqG4lMZHkmp
iIdNN02rFCh7FmyimY5V+5vIuJ/cEdgaDi10UphHWO9ODFIOKSa1jY7gqKC64vUhLCn5zT3R4nn/
0P1wEfnn331Lja+0puVzEVCRi7Y+5wS+/PWn9rvbkH/+3RX6dqZ5i2f4iPzTgn2RFDc+UtJfX4TZ
0S9v491XUyZTUvZZEx1HRV+EpudGR3KpWOAekGFYzUF0zW+u+LPbQoaMDRoAAT0t8eNtJRF9nDzW
oqNdXeF28Epyaf8wa1u+rMiEAAQROYTux3n30fmmrlhOX8fHvAlXmcUIvvCG9PbPPzrdZqiPCggI
kfvuIsUQ2nYUEQdalw85EHtOijGLgetfkxFioAsd/KtfX1E+U39DG94WOpa4v6/47ssKXYrZUpuQ
W49AZpqPMCR+sxhIZMV3l5C2UVOzDYjjjPIIeJLH/e8fOugk+BdHLTvG5/WO7Fevu4ATsDKvwpPp
kfCzJudy/eu7+vGS/7yrd5dESJ+NWPLiY281+G9o8hHuJYrtr6/y88+OESUdWJ48ybr6/sasGXVY
m6nxkVwiT6Cshefz6yvIT//9t4MNgqdNMjHt9w922YgIs4ESH22OvpMjqDYfIyNYBHH8m3v52Sf2
/ZXeLXAQBIqaYUx81MzX0Lky/etq/s3y9vNL4F+TwFgwX+8etQh1jmPMQXLM84MJLWuMxEJ01m+2
up+tPjxs367y7qsHHBy2U8BVouQ5Vba+juKD7ADyi5L2qCSb1PzNd/SP28LKjDMPMgtbkWYY70oF
4fp2mdlFemz7TVU/Dtaqmk+/fgz+8aC9u8S7BntOJLJuhVV6HGbCmZRgOSEp+f+5hLTOwINx6bP9
+CzH45gpKSetY5M+K/OO8eZvLvCPR5l7cAxh8p7QeBOm3NC/23pYOu1BI9rgSJ2Xdfhf4p2U5uTu
69uN/IcPklC8X3Vl6+fXF9qvb2zM3cv//s9fYhF+6ltLFiEsQZdIvECLfSEAfGvJah+EwRgJVZIt
Na28NV/nSIRnUgnjfHU1unW8vH+3ZDFWGThfEWoglEVE8kcuV9xYP6x2oDAd8H9UjBAKqBmN90W3
rgh6IVWSHDTVaOsz3Iil6kVg+xXMEok9sO2iQ0BeF1dXmp0sO5HtSF3bjrud6sebXDpqZAuqde7o
6pSLMupvMOjWe3VMi/DelyJ7q0VjOFG4etmbAj/BgoIZf1sKk0gsdPpFMh1GJe2pV8STz4PsYUbf
l2j7c2vEZI7af0T1X0r5f+eMdzihXqzSPpV6wT+gz+U2GM11D4B8azTuFdOmz30BgT6LM3pI0mpQ
Dm1y6+M+UAwdWYE6tV4yagcHh8KQYSG1pNQwkPaFsXa2vVXiPU+GrU/OnSGtDkMBbq2X9oeiqPoV
xUS8LfUsXbm17TA+93EzVOF9l1TtMgfzvgkSpraznN/qcpLbvQ11BznfDd9GvdXb2FfICfAoZ8G4
X8tVIufDjZwUw3QKTracHltyjlzIiTJMTvMQySlzoDFvnhg8V3ICHcpZdC6n0lZltxuCypt1+Da0
BmOGiI9Bti8n2rmcbQPM6eEcMe9u30bfsZyCI4TT905Zc/LL3AmJJ4qZKjozbMXSdm5CZ3ktZLTF
ZCfaJ63ScSl3xO1VcXwR9jg3faRybQLrBMKMDI9eq2ZGDotbD944FQzx6uQVM97HqknOCxWXVmYP
mxQThgcx+KJ2lQtiMniQsmhplulpDPOzUtQPQknO4yEqFpXIboAMksCC39TA60C82SWjOWwlYWsn
WNcmUlh0vdehBplhPF/gIM8XajKskhKsqY5OlK52uOsyppPExueL0RLOKpuD53lk2fXVouCwTYe0
kMoM081D2r3mM51nUp4MNfFw4jZLPRxXnQajMptug7Edl5BVTfpkPflA6KIXsK8uW2vIlo5q4mMJ
mHQC58eHxN8ES7QIabXYHKDw50rzoukmnjMbPTHyUb9UR/XSNgd1lSCdppeTNGeq2u7J5IBjadK6
jggTWaiZeLRGDXfiVFwPkhrrTgPn8ryxFxUGXBerD0JpA8Gxbb9mfvCCkFiGgWCEiScC3SlsOjOn
sulphqud7XXNlK0KJn2yYeGuHR59VTOIRVcJ/1v6RLigU6QhjAUpRk99ljdtcfPf/vFlqsdy++/7
x+VT+fST3YOf+bZ7iA8qxH+TYodKnjPQd5JB8YFzETIEaiB5PGaL+Lp7OB/YVQAkkDYHDMGy+am/
B3qYKFz+RJebkjRf/MFQD8zd+92DdiJsGblJucJCkPBjgVFXTWaYvZgPpTQsaEQ1LGppAy/xg2tx
tfHl+yqN4n7ZfVJxjkfWCMAKL3lj+umywl3u9tVSlW7zmXaVSfMeNnGLdD06WBgUJ985IlzVPGKO
BERQdZPgYh9wsxe42h3c7V0sCGZB4OdAqfHqAGAdr+C1JU3xaIVeFSsHvOJy7pbGedvCQq9IM72D
q35C4yjFYBsiW3eqOdheiQMfItuRAJWDKa35XZ33tDT7FO/UtPFH7EyT6V6lOPoDYjZyafGfTGZs
QYrtf8L/P0gQwCyRAPkbHABKwCxxATrmYdbTLeEv6hq8DdFZ4KEJlYKDQD+/POvUIFmJcshRLcKy
TMLKi4BbukAugy5aSmQ1grlm01UShFkY8WaUbExbDdcw07aINCFzAc+smnBZS5ymgKupqymATWzC
vkRuOlJv7CcYdCWO0x2s60oCOieJ6iSBj7twwXc6cDzzAaslKAdUcxLySflwSfouUzvwnw0c0CZw
bmIJBo0UfWtACqVYR91M29WRENFG4kSFBIsqEEYLiRqtJHSUTDm65qO5IwtnXBqQSdnttkz9bC+U
0NIA0YZXSJCphW0ZtRm6hBLKaUSsymqW4NPKh7MDA+K51gi66SuN1VGCUt1Kc+hzJ6tQQlQxjIdL
ha1/3Q+SbZhKzGGC621nSfRh4KiDNyhOsivhIo7SNtLjWFrAAYk3bWGm1bZuggLDD07iM80KXwKl
gJbmJ+7ZXIao9dJ6V1fBTaOCMVJbsTUU4m4x86yasDNXvUNwSp8X+9yppdHlc4Gce2HMA2VRf182
oOasObrrRIV/HL6k1/vlPUI/dQXu77zLx/MsUw2vdmK8pg5m7wJ63WBe5LPDK6HctYOmesYgjS9s
O1YAcpVdu3MY9UVUM8xfiwX79ia2xXlqMQ9X3fZxLv1Drya37hhyHEDBGYjK3JBnR3q5VkWrmsDQ
NbnGT66aXIQI8Mc0CFeq617kqbttCTrwBlt5ifzoFn8qlFklCHEnqi96VN71ibNUEEMuahQKT31t
rhRNecBkxYitdS70EamqNlnJlZUYj7QJ9o1mv9hzsyfC6HLWjD02HrTrkI/HohAXeZ2BhSQnrLSt
vY6Joq5jdaGI8NQHardIoulR2DeJsjImZ19GAPn6GJptGNXw+BSI0ahs2yS9QiCgeKKosSKg/Sfc
2SMS7BiaDKAtvV3qkFSyKF4pirWdpVoA9RJjw5pOd52ANALSgrWFsWFyiPA8dAbfumAO0NvgBJNs
fnStvl23We1ZzhbFDzBfJQ4wCFXn3TDv3DL6xIgYaJGmofkcXMrj+LpNzU9uzbwHKDGercq+CxSs
2Vrm8xIXIeVS2FJNshZCiUzHTfNG0vhvx/2y43KK+sWO+9o/vfxsz+Wnvu250rrI6UsFia7T1+TQ
/P2JzVHhsrEWyHMT2+HXPRfkq7Ash7MU3Ff543/vuaA1VEjqEpSBAAcY7J9subrspfzdnuLAZkvV
ocmhkcaoxW/x45brd1Gpm340HaL8qE+4RYRPaiDsi9txFsNCnQRGGRwzzpyenMn4NJWp4tnKrC0G
QEALjNVodXHcNIl7QGJYUBpan6CdXaSde4f971Yf8s9MmtaVNO9EdJDTMisJnLaEp+HwUUV2zmCL
kZo0/yQzKV1qxWSVGBvCTJM7i1PUWifhB0d45YHtSQlmNu+TlMd8mj+BXSOgFMfRgPMIR+GxxokU
kZe1odNzneFRKooxuPRxLRWD1MDhY9Ic4t7GHH8vDicdNGyM4wlt367DAYVV1Gfunq/zUPnY4ZFC
GLCgL3pJfM56NkJs37btryiQGb/gsAL+vK4cRDw6Wnh0ji+FGx2aRLMwElbT9axkFPS+TgpC480V
Xi0z1iM2bgOGAUa2lauYD9mc4OIffJvSXk3P7CJyl9VA4LUy+pL3Fi8d6Rrj5L908ZHBIJghanbX
FsN2stXMO8kbSLwgqg0Cxjo27UX35kwbLRJeb7VhmDGcOmYFG7JqVRh9CCJrUmSDWFLzgtRY+piw
FhX50Y4Fg7OZNmo6bueht1YdSoQFgNHNqBq994br9RlXG3bZSx3LawnEN1XxvzGZeJwNqjXmLASl
+d1tm+ePEYN830TSkxacfJrd1JGUXYPdsOJ8WwhVWYVJaS40u79wpa4wIRSUw+vHybDOshIvXWZO
T5VmVrdGxgA+M9jhe5ykA7arcTPGsb+NTF9fKJG/pa1feEGl77E1aQtXYX49KROR15lzp/QIO6xK
WQ+uQA7Ww0PnJOj4w2524TpByIIXGuS4M3C7YaHYRFEIsM6mZyD8td4xDFVodjJSvJtJNExN8bnQ
+cxY4O9VhwhhP7llrv4QZLjgwiSChOVsk3y+b+o8458PtwSRQmIC45GP7VnW2TzN8XzfoxwhnfCp
naIVwJq9G0dLLSofrGhol75OxCjwJVJW6/SG7eIW22O/KDuj4VdL9ki7VqV0CLb2Q8WZfIGm9KKm
kzEDulJ10AsodzbqhOKo6x5NJziJtFjbWn5gmnkYS9XlHZvFObZ9/CRWfg5n9FLowTrJXxIO4B3J
aKtm8DdFNEjAiaEtQTMdI8vkSOrzfwbcD63d3M9dM3p0N54yHxKAqSatB2HkTEvxAKP1uEG5CcG9
SAEg1/YN9p89k/mH2QkvUne80gWAVzWB8FC5L36mbpHq8hjZ1a7vMh5AX4o5xpUfC8DQRskLpd3w
GN/bLchAIusv2whFgKu/uPNUr2IFvapPfyFrNEO6kG04CDnmNSskRritseEmY3qcEveUYOqQkX7V
zu9DdQXAFyOO5X4a/fYpSaujr9Wd59umv2wG1feyqQJzFpv70mmM46w7G2UqQvod0pdX5tqzL516
aKNv56I41+fgk4aVD0XstM2ku69NxGVIN2nRwJNH/4KXADvHa1Ha86rD8IC1pJQaqYqNHfTLwnLx
EcbSUegb9fmMxbDFahhhOQyxHtbSg6gOaLQxJY6YEzH+YVfFrli2oUqKJg5GuujLOMw6z7GN5X9b
/pctnx3637f8Q/2UB/Sz/9Gk5ae+bvko+g0YqfxrRMdpb53Yr1u+5nxgEzAFu7tDehXcgW9bvv6B
WbhlMgp3nC+Iq2/HbP0DJj9LGv0AmnE6/6O4Itqj7/Z8jusc2EGTYvZjSum8m0VUFizQgbQhWmUa
fJI5TYBpQ2rZK2Ol7nO7gUSiqFP3aMThWeRPD06gzV5px896b2qkVnK0xeJEyPOq0lXM/WUFATOO
KFWRvhd3GOesCbyn2gQyh5sTchxZgkVbr5+M1I9e2071gWrnpoQVcw7IiTTNWR/XYRfFFaErjSC0
oTag3dREKZxNtuJyAIEk5HcuVUJUWog9TYjNI/hQxQlG3mmM/GbkkyAsWEQcjdxbyTRVdI57qBbJ
LJ2gioY1qiAid8u5oGegcrAerjR9Pg97wAO6cm4U6U4Lwt0Y+bNnWjVKUk67XtH03VKgiT8vDWuj
lsox5p0/lb6zb8uQzSygDAmIlDzPm6L2hDIkq8mCi1sDbl3aVXcY2+agJCPiwsAAOkSMLWvEsAoD
20Jtb7VKSed5qj8nensdpeo1fZzMJOqyzY9KlcwXupEQ0lyug9IK70FJeHbreH7jZ+hnsG3pBbjz
Jog9iALBShSES7gd1YKeXSuWOaxLh93BrpDE1RyF8orbLVFJ04YcF/5sW0uh5eGhD3AuRiVORN0k
pHVUipOF7dfFG9eoUw09ogOPKGifRMoFfKV1b2n0FrvSuG1cDcEZ3vqadW1NjyVaUOh5YzfX9K3t
8sH0O3opmkJ/YpFjo/SaifSn717F45ey9f+RQXMsorxt/vd/3s3xsJtKxCZicdei4KaX9WMxG6vh
oCYurHehhuWauCzxFE58TgOWrb/0OP8NqQzWpH9f/66Rq7/W/1z/5E99Xf9AsRqscvD/3qxOHFG+
P/K4Bv0xVjKNJVIuPX8feTjmMLdknWNM9Z7Wgj5IlUcl7AiyA/kHZx7hyMfg/ZkH/YeJopRJGqef
Hx+TXuQCWJU7HZCiNGtVSfNVY6gNyHzd8au9o8YjfbzeJMHY9POSPAsoDpm5MZ0ErpMUGEahap6P
+Vgt8DLRYKPWMYiH89JJb9ZCa+lukXu0HSkkrwQZBQtA0so+mwLmMXFx70Ix8ZDQPucVi4EWzldZ
VNCDHwq4f6VMjAnsAwZjAisK2lZBiUIwKgaY+Q7Ezw4YFkkW4irRlXTXk5WDN9NEVBiaW8VmumTq
ENa0pMsxN1i56UVlcmJk9zok1XVBjV9mQ72sIYXs4lEZzwJUsviO3PKgdtYjxByaX/wrPpR5g8YW
Xsdu2Yx5uvQH90I1+Gh0QUBT0F+pCYHbXXnrxtU+CptHIu02cZnxy86DQHManxsm9TfogIu5dF4I
X0qYbKCkdkRPCruM8EmHylM6ehOhNa5d4T8nod4sTKeA6tlAua0uclHex1FWobQtfS8Ks3o1mNOn
ORKXGrkLq8EpTxGHGI80pQq9tI45YqN0ORK5UGJosAF7VY1JVqtXdVlsBE1O1R02gmlIp7lr0rZf
Z8eJVqbdEzJioqdkCLdoGsSxedeUnsHcj97ZUGKdIhACuf3HssMQio9kWRnlqh+FuWymV98m9EfQ
txN+8ERM6OfODoqlnZj5sjXmYq2pbQrCWhz9eoKTYzEiLOPyKqznJ6dq/IWGdQC6LlK+WhogcgtW
jWjv4ri46tQMR50FpdZJ4atWazOlSRTquNw1C5dd8BHwiQsvvIEOg9a6V9ibHYvH1aEzTlEYMGWa
ZnVrp3m0AqoNdSMgoyCqXHI7YhKwgopGr7X3B6deTlUzLlszegKkJ7tPxZM96rXXjEDPGsWft35b
GEtGoAlURAPFnqC5C9qmXI5GYBDiElzbvs0zVehii4vhopWhV52Mv/JlEFYkI7GAEOxTZbgCNPSQ
y9CsfCQ+yyRHK7PE1pJCnD5wgb01DbBcZrh2iMVY+hmsUmsXpozmInz+UIzKrkadjL0tee7i7mOc
6Z9KUr1ioyOVIiBPzNQuaxFkCww7l7iz1VXsIGv3ZTwY48mjTl5YDJhTluVbnSSxIXYvR5Ffk0Me
c/6coci0KoYY4segCcZgDnF3t7710BTVlZBpZXGcvMYz+WWT8NHK0/kXMtusMZDausSdFSG5ZzqB
OSuGBR9zItEwRFKhEJJWq/EjPmv6GzI/rZRJalGhX+B6voOhsNeIWkOrrq7U0QR5AN1GprF1RedR
igFtIqitJbDNjovzooYzMthIp6kq7lv0yoAVyXnrS9r/zVv2Gy3TRdW4xkEkhaMsKwTICBLYDf7b
FiXT69+3xVPUv9ZN9PKTk4H8wa87o2Z8kIm16DRUdHQSzPHtYIBGg24fDTjKcgZt3/UCsdpxhmDf
Yy4GGhf27XcHA+Q4CEGoBv/y2v3BxujKfe/7fdFmk+VcglLNsgQhiu8EZKHIEet3urioiwqE9bmS
YhDgAWZvzNSla8TJwe2EnixDywcdFklMlDZNmg1gBy0Bvpf00BWVAtSTl9I0cx7jRCFjVDT5nhNw
dg0razh0o1Ge51FbPLdBO5yJbEiuDW0AT0AAXe61o/3qi4gxj0GEoRbX2GpsTHiPAMdoWCg9xJt6
IObPTTeJ0IblnOYkKlCKflb0aD6JxooILUTGgKtNSxmZu1SgVrUcRSxAcLGY09pJjlnW+TcCge6p
ezMcq7GZ4D5O36zITGXIpaq/eJQ1Ow8EF+zUHr9KT+mDm3l6szZTXfRXda059EeQiNBIezNCs1TH
q8yMqvhWiaVVuuoTbNOjsKp6MdTSTm32CAGTrtN3hnRbz+y7S/v/2DuP5bixNVu/yo2eowLe3Iie
ZCIt05BJrwlChoT3wIZ5+v42VaqiVDo6tyLOHXREzUolJdMwgf2btb6FwVVaENyuqn1NtkeqaDzr
SsjOKXhronLZT1Fq0FoptWyzprgwjM2ktcluipAF+eVsXmatFc5Wl91aSdvWJVm0r2wsF0cLP+PO
rd1YXOaEBc9ELuNsLCO+mMMx97KpUL4W5f/cEcxf3hGgA5BzvMw+/oyVLR/67Z5AtUyvApIHIyvD
AjkS+HZTwICrq7ToAK9N1vXvl/KMGFx0zG+Cq9/VXm3Zd9F//5dh/0Y+uaF7tq4a+Pr/Xt6L+Qbq
eX9XsFyVZYMKlduykHfJF/Fe9edooUbykFViPKAdpmGUg3u0+uPIYFMfQ203BOk6MzCM5dRqeCyj
59xz9rlAFux1G0JnT05f7xJLOc9KsFJNBGAZ2o8DVqDyTBrcw6SaT65XgaJqp2nhKsCLp/TObgJW
8d1MvmSYoiZJHLjVTNWw+CSVusro/6jqpMRFQ+vCNlf4npS/RBhAl6nlFotC7chHQiUzS7mMFk4+
BTTRAiUyFymp6aW4hsRNRuHsPaeJMTkdgeVHUowjhHovpDoH3BsJy63feWa6tN8kPGh5bCnqqaS8
p5ZCH5JOWIu+iX+K5LMXe+5qksIgEprkujjaAeIJdpmUDyFsXpUFMgEVr+aVZSnDIYiZTQILI5az
Se7jOmcAk3Ua+oPkXDKQloqkxTCb687u75q4tqEf1Pe2E56rWqOyMIaDCR5mbdRBD6WUzLtCyarl
YKp4u/ACL9K6P2I4RrYwlbC2hbKpGljfhf5A4srFSzCSBgOK1HnQto7BGnlK4y9CM45hMZ9mHUNh
j88GXmtDEp6yDChA5Bjm0EMwWlQq45oQea4yj92ylFK1tgRsVHWJ4We6vUs6+yYNqKcBpuM6nsNV
bebuelDKz7UOGFJXW8bOw8qsYWarOdvq+Kxl/ZVhwPjPzfaqFnxngr69rmMbp3HKR6MKJHQm9Xhb
hMs26Td1bRwdKyJYyyuVZS2ScptqhZ9WyqZJlOt0LNvjjKBuYcFpXvaufdFt/ehVGTzrSYyU+Zhy
9RSHlFHOTC/MriX8QYXEPQTYMdu7kU33WiTFMTSDD1ONhTFTXFzhhu1bnfpg1vUHOhDH17KEEroj
9i4ObwACH7Qx9+dwPFF5fWnwbOAOavkMW3sX1rG2mG3r0PXtOS7bWrkpAcrPL9OYYbjMietMqwcS
c2oMnSy5WWofi17GYnTec5mql85qvrjVtGyIa6vmcB0SQFS1A8JLZd2o+lWZRae4LPdj0p5w4V2T
QZv6KDr6TRb0QMQD63W2lR6X5mAQc9YHDsykQsy3uj0fw7pp4Tbi8g5jC9GiYfO8ZBFlzWZg175i
37EdZuO6sZ5bhYihvPfuCzCXqFmuGr2hMeis3QCEL6zm637Wt4GIUYpZ/Q03O6rxztdZZ7O6YVgU
1MG10XZERBrlIoXpW/bxxdGcZTCFtzPoy4XdkPwWAQNc6A37bTMnSNkLNQOLfxavjdTeMHQKt6CZ
pXM/Iop3yqyF0vPNKSqEhAXc4EWOetkdlSfHLF7LRv1CjCG81jJ7ID/xYGnIcca6Mn3QTszWm4CY
xqT65ELwOKBDOsYjm8JJVa/zEi80KxztTCg72dDOuFLn4aVvQbjm9ngxhqnaGYX4oJX5mh7/aYod
Wr967bV55GPoRztjtuZm7MPHAmiGnw4FM7ppI4LSV6vm2osRbYKkn1vWbFYdnOBzx35sp9sS4c3e
Uax7tw98nlks4a/dEbutbyLCMfy51qpVNSbjqlb048hlcO2U3sWa2u2YmXAkM5EDjUa3L/kDtBrU
RE7n817JWk5bE69P/TEio3bZTQwH7SxbASZ5Db3PMYultjMuKZ8J54CGygg9aJe513mn42UFKhqI
FNdf4MBAm4FQDSLZRHXtIPXLPIpE1B78ONdlR2FJe6YVnqJEByvex+LKVLRixS902lr6eJHzBi2v
oMaUseb3LsT+sXa5bJtwN9JNBgp4EFaFzJMkDe6D2s5knOQk2o1MKELMqEpU3+oxZFmWQsswsnu2
qxK/GrafUx3NjdKCSbAcSCx1fQxbq+FbU+EjHQ/Uu4xnjHrTo7Kx0uo0lNiRKm04h914UadyRWb9
tLZs56qsvS3KlOEumqd+PfT6S+rhi0AseZNHZGXNGcXVPx3W2+JFWmP+dYd1+/Ez7nvWLj+JqJeP
fFdOqTQxeCB+j8t9V05pKBl10/r2Nzzq2/ARMolhm6or2x5aKkmR/lZOkQNFtB7ULMsF/Ewx9reG
j+aPyxcEF1CbeHUW4Xnc33im9+WUkYgCUuk4nEfycZcm+ou1IaJkVRFPmztjx545bbkNWaZ4HpL8
qiKydGNTosEzjWN5OyShoHA16CX2CsUc4N2J4HnqEuWKYumjFejzCSLZy2DXDNAS+BJVFtwavWIf
CaOGCiKMel0xmjxRPK6SMHrokEIPaoGP3XP3XMt7s9Fe03F6GCKYymZKZGtDio6+9WIQ0l6SkyGX
k5+XZNz0oURlPtoAUImSoA/D+yVxzPvBVj6kQnkZhHSiE6GyHAdGgbAGv9TMQYH2KaeOfspHMD4t
Bu5/C+HZn6YI7zT+QG2ZAXNeCMgufj+VD1Fe3uh2CBqigVwwmf2y7juxConHDI9hvLMr48L86mhk
wcsMzncqrm2tGnyk4qcCLPI8Jo85aPyACWNUWHfCYnykJq9TKPfJmX7jyirJ7Un2E2GLIK0DTNDj
ae6zKFuPXUYihWfUfmNPt3nYWT6ME3OLwi5ZGlnUwOzugSyX5CYQCTUv2yDxVkpntz6sqm0asa/P
mY0ic08ulpbp9KKUi8kEBlmLCXWxSsgZTc36hHQ/sUxdrdqj8ryU7ZiRw1WqG8RdO/DRsd8Y5MWa
fWJt+8Cb0ociVJzwqLdz/pi0FnuyjDURH5+Yl6NhDwsxxsOqsNzX1ou2YyTOUdekS9DN0Fq7N3Jr
I6dAeVY6iu9pSPNiUwvWDOI06FeEirckI8CQnTigzKE85rMe36NjfGhA32wN2/uQxmO+tARw/8FM
dAbYPbu9yb3zimFnMDavmoByY0aY2WjavdIH3M/ZW6/GYC42YsCZkJtyvNvqxbktkL4gI18YrTiO
0VTe8Q1AR2s6BALX2XhdTIyF3X6o7siq+NRiKb1yUl0gJ4leKi3Cpm8Sext72knBjYHyl7txrlga
UN6u3zZ90Gz1xs5ua7smJKt0irtUn2BaanGEZrO6K93O7zobIjXJaWh4LKInsZv0gZJIDimSvnI6
DzLlTDGacZnL5DMr1geAjKShTQTF7rtJ/Uhw1bKOhgckUxUqVzLUypColND0JnomU9nBsxo+kAQ8
LIq5DvzY7YrNWJXp55TV2zbrBzKSa5ecw2jcCkSbq6ajufEbVJcQIsh4G2TaWxQa7tEV06ml80eg
oZCDUsZcmblo1sA2GOPqRXtU3Jk6WUthZVrjvPrnPPp6HjGD+9V5VPyfNWKAz3H7+WdHEg/+40ii
jafBd03UdraGN+/dkWT8ht6e/lpu9523sNdvRxKoXvBDcm30x6O+HUnMCgmJpzHXCC98W5X9jbHf
Xw8kxB+mzfhB/lCCEr8/kKxMVd0kaObz3D3WbrCQ3/t3H8xP1rLyJ/w5QZBWXpOfgVsUUBhswbcj
8Z1vkK+sXY2VoZ3ZICwauFwZeCnrixDbXz/P9+/kr88j55vvngcKSYWW3dLOFkWz1hwG5+tw+/P4
f8MXkkoykFnF+/2y3Fz+8p38oJYMtbrQZbT7WR8d4q3vHe8V7fLSUxiMihWSkGUrnqt+28fXHQBb
LX4BTBjCvylvugKFP0otaEtWiPSb0ADzpk9uBxqCEbLurz8KKRD95Sv9scyIlQAChvwsjBXIwkVd
PfYiXhKHex5ks0+PHk+vjqKD7E0xO8T/xlIrK6a/vAAN17Nc2wI9keTq978M8r+1TqjOdJ5EAp1N
85rskGIz6ZZTZdbV0sNl0e/YxOybkYVfP1w0kOlQAwmAEaoyL0kxj2hSGLqSiqXuB+7fzSbLISEb
+yFQqZF0JdHuRyNPNkbqJS6hvsR9J8mqsZtd1XOjFfVa6yYfjd0mms/Cjldk0S7khLq3500zetc5
27g5WQf9U4uylCYfI8LRAL/SAP8SiAZ0sl8YjCF8hJ+aVH4K76Sqa98GIjczzI0nbdlr/cFR8xUb
wql+ahPKD7AJ9VBcaZ15g6stGfONKPTyPreyRWXMxqr07jrT9jHoQQfAw2LFoemTV04MlpuT2pRm
z0hCFnmOfMKzglaihQ6//oq8+YH/vCyl9Pe7C9/84XIZYpQSAODms7oxtsFuPnSPxsbdNed2oR26
bb1sVq7vLae1sdw3e7xs/vis7JivbNSNfSRu7Cvt/V9eXfLi+fP1/PXy/WH9YGZZ7+TyK1umO7bh
xeA32DzWIHx+/cZ/9s18fzv64YbnxvmcRRHPo2Cauxu/1BIqtjR1H6bnr5/ph9np17f0/iJg7Pv+
IvB4/43hxfo5MpZsWUc0+sz0QMeB5lyGZ5YGv37Cn90BmfgitMbryx7nh19pbuej42SGfh6SlsLi
k1Cuf/0EP7sBvn+CHz47mgSIpqGun1vh9+hmB4W18L+D6vy7J/nhLuuNHj07xtSzJ67met/Zd7r9
4dfv42dH0vv38cPtceKsRghl6Wfc7hhTELrbTEFPHnaJtyf6T28/jvHnpmzL1+5t0/q5rKaGoMfu
6+L1jz+2fyxi/Y/dx+/+sHozjd/0L810eWn7jId+vfDkv/x//cvfVY138Mv++78+foG44sdt18Sf
O46XHxWPBtfnr8ujxYvc4v38kX/URsSBejb4HxyJcvHJFfLH9kPDkmhChHEwBb1Z0/9o1+3fpPtB
V3WJVDbkHvVbaWT/hrgIHRgtIv5BCVr+9kFcf73X8Bn+yzuS4Xx/T+Ie6emWBmcZrRDqJJz131/A
bT9ZFl4kBSttniwzFBmkpy+KzGa5wMJ+nTrTViFLcYnK9kbuUZYiZiUw1OnjMHWlj9Iefzu5aYjq
kiUODLKEhynw69od+OzbT6xKHwiE+1Cp9XFiGYgWz0WgkzUrk1S2oDLu8dBtci2neejwMusYikBp
fkZ4txSO3S4DQ73xVHzfgxsQzZM0j+rovI4mcppkqG5zPbmXiferOSXypFeQGude/WT2Ve+TP03M
nDKsk7Cq/LpUiKQjWEBTmO+mCo1nQLpT2xNKOEP09HE5ceYNVqL4wWh+qDKhTDfJIFyxBoQ3MBEt
pZcXb79a4YWQpl8P9y8yR29dSUOwkNZgne4O3p+xEtI2nEr/sDQSe+Qa59Ja3KvJlw6vcSBNx4G0
HxvdCeiz3pYOLmXMyYNHZijK61tHGpc1HMyJtDKPHhb9Cbz8si0F4cJtu6/V4lOtR0njF1lUqivi
kJhY2Lmp39RvO6XIsXzEgXdqhOvBoWTgZqbKacZTYZYPudxPVfNYHrjvTUvF8VaFg80lrHYFS61W
azc58cMZy67RCp5YoiHFT1mElUxu+8JUdxoBPIuI973CHgLe0C7ZR8uRIK/n0Q27eC9IjGJcyxLH
1QKWAoORnwNXvSOPCoNKxVCW8LorM487lPZDHT9gn9ezVZMRlbbSBvc469MNw08sDHZbM5Ih56mp
1NsQVGFQN8VihvRZh95aGfUtE5IbK3F2QTZvUtFvSUNtqY7Cu87Nz6MnNvqosytSBdN1fvOUq1Fi
9TsEUI+WU945JcF+dP65whLOaxgo9+FdVcyHZohvm7x/ijsCvka0Neybq6WNg20xx8ZmRHSzJiFH
X4/OdLCLUr3iV54s+j55SUZzIRpem4I4Ds+9DE/QwSbMzsaYrQ96Q1ZHoZJOhOKKUJxLbtXVbsJF
fjAU8zbuh0+F0q7y9q7pNW2JgeAmjBJWIGQGVvO+sbUH1UsGcHzJpo2bbTwl0HAN4xi36Ye8D7F2
Ova66nBQGnUF1DPEjKnYM9/Q4aMXaOVKzVEY2DO2JEYn5CXp9Pplq/ilNvq6a30yKtX2YVfczmF0
HjTzsW6GA9XFQ1ar2krVp3VdyCDUVDkFqrdJ8uLUk3xGIEHxSQTYQTANHrwQ0xWu4Kss459p3tXQ
9R1CgXznhv1BSDqhmc+sXA0De5CFsMcdMn2txQSR2rNS5JdIRSGyUOzwOYFdUFhoeBtLfSW3aZvG
4rn1BpwvYoVhdpMY7ocOrm3em8qyZPiBl4hYS2PbhNXT5KDN0uWEbjDtg6v3F1erGcWPOFGaxniK
+2Y3wBzMFBGAFTZvDDCijmPc6IUXL6dZHC0xECxiFZugaNyd11TbKHU2sZs+Muo/IOC6dwCEsiRi
exWZvl5lx6ior1K1f0xz87aJ+V3klfhs5tJR1hxjoTMrzftdOCE6SWKxzfT6qvb0C1+Sfdkz7Ysa
AhsCzLkOa5u+F0+5XkNVNrO1aFXOhYEUC+1KMUCi1oOyMydzq0IU6kjezedhO4AN9eb0MLKt7rL5
phMpYum8PhpGczVWfGVd5lN5m90TTfshhX5s1taua8yX1iTZvbR3kPMfRBvfWm57h/wnWwCBWwsr
wurpfkrVaqfl/YwPqdwFenMA87AvgLIzkhlgX6ZX8Vx8GDPjlnA/uhrEIRqB9suEjBqTJXpRVWcr
L69ix339/1KcbF7KE6P39n9RbcI5/evaZF9+rKE//qQ44aHvihMkGQBdpDDreyMHqg0L9DiDfBj1
aJOZ6Xwb3LjkMqnAyUlRUHXrraT5Vp1I1Yb2+w9703/9UIz8ujiRDdGfDRPFCQMgD24imwRYCoyK
vi9OACvmEK6n5jxBkObo0XuNlrlAd4stPSrOsUmbFjnRybaaDcIk66bG9USQgnoxAvOSNv1LiXdj
MY7RLhHiKnK0tTD6QwoTRhHzPiu0g1to/qzjCxXmiPnTOKikryyMPj8hclsHoXNoI2VdTsoNE9h7
ZyoeLTQAyKhfXNNdIIxC/FDs0r70I0Xh7I2MneVGD81E3I6p3hDJe+qn2BeeehrlxN+zRy63mWAD
bUnq771Vc9bzjlZZM3zy4u4YeHSgjfHBCLON6Lp9EdjrzvCuhFmfgig6eSU64tlk41edevDDRlkf
OV8eHdPaRpp28pjzKym6Ey05MTFaiZ6Jczv7kSqevbi9jqL+GA7TUpTuxhz6lZHZqEeB6XivbeNJ
CNDQL6O+38+e+zEA6Bvb5mOSiJ3Ser6w2ksUzhuFgL+8mpGqNrdTO2ElH+NzaDmkcQ6+ltj3Vptv
56m95G73qdBHhtXFCcXZQdj5Fj70Pm+mbV/DNgirV9atJwYs6Fa8nRGaFydyMNDCXO6cAgBwNhzT
3lEW2sRdMUg/GqV58Sp7GeHcWdBSn3ulO4S6lCCIXQOFt3WUS+KNO00NHtDiUGAaK5vEpEUdxaTT
cSBHgVov5Q0wdjMQ70M93mREnvtlbH90BPVoVY8bt7LYC4wVJ2IVET81fiJEyUOd04RqvWonbyDr
rnWbZIuqL9p1JZ77sznPMGYS0y6MDRhLjPYkBPlCLjfklqOs+0yGRVzSsqv2BSDsZSu3IlqGFGW0
ZuGLiVV+NuLd9BDl4ZCck4uu6SgBUQZTFmyTAuMsDgTo0HITUxCptdTkdiapHKxFcmPTy91NIGDt
tKxzYnOq0fbQ+QWGna5nufVhxINfiUUQJAsIOjaVYcKSKHanyp+T10FujzxFv1NYJ5Wu4TPmP8+6
tTZZN0ElGtjnU0Oxi5KCDTfpHhWKiOTYyJ0V/5btVYVz0mChFcvFVpk/DHLTVYm2WwRy+8XhBUO4
Mj+FIeR9Ve7IqrZGh296p7gRBBiMyRdPYbkhTAL9hNyypbr7Elbeh2LS72G4vfD6ydcq1RbNPTs6
o+JQj+TezioSmCopY0BRafiAGp/o5bNg2QdU4MEcJ5Tr6j5hGWiWUbwelX5Fs/oQz/rKy7P6NBH8
ss7lLlGXW8WS9WJRRSANYUSs9EgQp2ASyQYr7omIbz7lOv+ilDJBdMR44ERhsU7ScRco2SZRqRq8
WTzPJRSJrBvPsep8igQJ2aZoFs2IBIaWiD0TZ7QTZaA2GmWh1zpgoYwqzdA3Qak/dXXM+k2Xqawg
RMK+ZcAXP00hVmtPMT/HQZ2TY8Dusu8+KX3jtzrKyTFQ/boIHg02ScsJkMiMjn1pppKtouhLs0Pl
PTfVXURN7quJlLzZ/N7HIHgyMqgRAUIHvl/GGu4MJnlv4BKN0wm6BpdlM7gtL894zVV8yiIIpSeb
cWGKAmbI610czzavTezxkp7HHC7UhK/EzQ0EMyouUfFQqOq+G9wZBgSet5g01EVPNngaqbdD2F1Z
RXSnTQ7JEIntF02C1N8cDN8elUMMuQPta3rfRGghYroIP3OqrL+NorRYN0MbRkulJA1PoGtfKuBJ
dyZLxSgTJFyprrJRZwIeSY+IF0WbEwjf6/j7p5sqb4uFo43ZTYyN5Ous7D89KPlfWItQGvy6Fjl+
xOT7k0qEB/5RiUBugkxJU0fmCdrx9yskHVaExnACiB/aBpUq4Vsl4vxGRpQuI1KYwuMs5VF/ViLs
nZjKW/+hFRKxkS6uVodxja7+MOZs+6Gvc3sazmp53cDAn8gUfveh/D6Zeb954ZW+K3XkIBXwFIWO
JdUb4PB+mNfZg5MavdP359ZM9rHzoKhnz7ppza0WXA+CVnz16+fTfzDJ/vUZ5St6t0zSaWNjdtb9
OamA05FyAlVhakudqOCwbG+GpnT3ooM2Y6c4bFp7bSdTDU5oxIrV5Z2DsqKwP6D00ne2VJNNUlem
tSWRtG50sJCcFVJ7ViFCE0r66iFKk2jNUqrUHGhMMBcama6Mhs2QarZG6tpIDwy3JlK3Vmre8LYZ
GELjchNMY7GMpTbOkSq5YoY6jIb+VhnIhERI51LdERhKnmEsDgpSO4SlyPMCcpVrZHjmhKzNHm4C
7FgLQjy2ZaldC4R78MJ2hcq4JUXSVyLt6w3lvpFaP1F8EEj/RiSAQmoBta7dxIgDzcrdR1ItGOGA
WysVCsIgmo5l78y3TkfAF20piVa3ZR3ZW5s9UAIbcFvbkdLdzG+LoT5vxvKcse/omBnA5ZtJ5Gq7
2c97o6aZcg8kNx4VMz8wHdmN6YCNOTgpanqaZvsRAQMWF7brCzTS64aECiCVX8gBtHCNmcexMvdE
XPsirQ5dMKxI9d5NRnytElReBLUfj9MBncoBnVnpd3OuLkNruGqF+lgDDDNNJmB5Md9bGTubIJ+I
yOmL6yLtgCUNp3RO9yqUy8VY2azaO4C/9YgMGT81acRTtmoT577uMNImihqu9byCOdIPHVpMvYUt
VE8H4h8hTbj6VZZzvA9nM3IvbQ+zQIvAmEVRs9aqfB9k8XVfKLeDILuZ1nZRypjO2KNp7b44Ea2m
Zic4k4aV1+c9oknNh7fGtmm6IU6RiC32o/ZgboZGrFUz8DubwHlN9cuyvEWnfJ0Hdb0cRoYoXZaK
yzhFFxwfuwanoVu5T2ZaLEfHau4qVWHyGTevBYNCDB4bYC9kvrNJM8FNAQt+UYfwquhtfHI4HrmD
7fQcBbRhkLqpDLAbwmtk20fTSsAd5SBGrFXmFMt+DK7aligfix557jCJKyeQcb5O886N4mZidMZs
kIrPMIM1wpwHs2ml5YrgpZSpIvkP0zYdAI01GbIVCoKFMSn7tJ3v2mpAApV1VFHlbSJUn9KdrzV6
HbSF+kevTz4mjnss6wyyYwKSjWHHhFdsQOISCHf7dpv559AzWRj88tCT3oimn/966slH/nHqySZb
0yy0EbgZvg8g038zgFm7DPm/gXD/PPW4LZG06EH75Mx7H0CGNYIzBNS3Bu1Zkx7jv9GAswr67lTi
J2G8ImUZNIMlYwx+5BV6gVLi/Herc0FDghXKxlaro+7KxuIxxjy00hMu3VZHcJWlRG7PVrerLQ2a
rMoxkufDfsg6Y4FFAOCp2m9DQkNw9VnI1jgnyqJnjBxmq8RJPg1Bw0xd0A2LgmFU1oli5eSWC31w
8q6jOr+3Ggav9WAQppXOhymlsQs7ItHjxyAx7pDUF2dHjphLOWzu5dhZHbV4nzOJDkxQgSk5Xyjr
gXqjYmUH0K9DOAZ3BQpXqpKrpBqntToWhImMF0wHgNUQxWZKfRKoZEOz3lhSNivQz+ZOcwuohlv9
VB5bKbENO2OTqh65vqhvJynDLcNQrBwpzTXQ6MJKukUatY6keNczm0XbNPFOoOvVtMjhVjScRFgz
b51lZpHUAY/5ltQYzR/TPvKzRooG50vwph6WOmJHKoqzmLF4jsgYcNrek6rjBPnxjAw5kXrkWCqT
kRdvBqlVrqVqWZH6ZU0qmXvoBj3SZkNqnA3EzplUPTMlvdBHXsr2CwkZrw4/rpcq6VjqpSOt/Rgx
9kf9x9jeRFSdSHW1IXXWBvwLoitRBkgNto0Ym5TbC9KI8rrOtWMt9dqqVG7HUsNN2aZvcITdmVLf
nQrPdxF8V1L5ja+BIQK9oo0oXJU3ciiC6wC5eFt21wPy8Y7k2gw5eSl15ZoVP3pSaV5IzXkg1ece
MvQZOfpUT090nmvk/h9MqVfPDXHBmMDhgZSdZx5XI+J2IVXuyDYRNGjTdSIV8AFSeE9q4oXRfNKk
Sh6qjk7fRcETKbmzqh2SKlcTeTDI4gG3UyDRoFSnUCjkcsnyaXyrpJy3qsqoEGQAdcDI4A57YRlg
mZx1U41bmQw5WQYyzqB59kzmyuZUUP9UPAW9LT30thmmdtlbfMRuGGyUPJrvjaokE1tnwmRUzq1b
21edNr1kUZ36WmpdCGcLr+xZrOYc2FHEPMZLCnp8c6bbib4kc+UxrHC+sEkPqdXYkFjCI21Ja2+6
uuQjbo4BVYgPz7/alw4GFaCA4CjNFVRbCRxyWaGNE48gagwVQzitEy14zargOmum3jfzTqXZ7kEG
9ogOgjm7qvVCXc2qXW/DfvYVTaCYLfZDopPsGejPSUVraNtdd4hMRT0a6HpeVDVI70rVrLaZcCem
P1kEb/Cf04lGQgqvf3k6xS8Evf3kZOJRf5xMKhQ+En1ZQ1u/z3jfra05GBj/GrBxceHROHw7mbzf
HI4sBzsfK2qMvPzAb/2Y9xuDYnooh5pdN6XV7++cTH9VmbNPZ6KJaJ0Fuo6u7/vuZTaiPNLLWD0b
roraK5+Tla19KMMvOGiJuwbTAu0rltivGCDaYaj4/43unG3YYD2YGRtWWAYzDH7cUpUQsTaNngqS
s/AFX4zCPVYSN9Y6z5ok2WVwyGZ4ZJ3ltIioqNr0sL+vxuIOkRdbZ0/NlnWNl47kxWd8rD7JoVfW
hEUW8tkccceBhKabSr0k82MfWfhAJCwtneNtS2e5SOCoaaGzHSRYzSQEgrbjmU3a/Qx5DfjEE77m
HG2r/qoMBQu4/iFlLYxh11pDA1/PUNxij7qcd7apPOh/gwdQNe7shRHIJDwocB0TRbzKLlQ+8j3h
xDWtcBcT5Lh60EesbJOzIwQP7GFgXiVqhhx5ULZkLHBexE1AyO+0Kc1xp7/R6ezLUPUXUKjNfQa/
LpMgOxs5bwjZDpIIiBFQd5U6HkMJvxtCR1lZ8PA6gcp4hJBnQsqzPSDiNey8SfvSQtILIepNroWB
SkL2Zhf5sMTuZdjeMjh8hsNZ4Fna/Vug8qAC61MojjuJ75skyE8dp20C2c91h1UFBaRv+cxCCf8b
voIA0zcqYDd2QKECgAIbEBDWeEVs6bSYzUrtdqWLfbJzPHyUegfdqC7Vxlnh1SZyuG2NzvuYiXrA
7mfpnW+nZMUtRqxQ5jKHmepz9GHnwQ+EnNtj+1hzOpTG5yJq6gUmTN03TIWRol7yX4PqD3P72Q56
DElp/SqLsMUUYKyjH2QGxXwqtNKLM1fTlWM4JyXS3WWnV/wM1V6USvSUjeZz4Y6AJUdxy0kRMW0j
353N3Zekal/1aXyZO0p74WQPoW3yVWArrIqR/XerXzWFEq+SoTNWpiWuRx3Uh+GlWzNqnt3U6tYs
n7OVFbjPU4d/CShUAq9u+ELnJtUhw8g3p/P8Im5dsCReeMxC5RQ+Z8IvwnBfMLs1R86VnO8L7kXq
tSu7KDZJWd3AnI9AIo73lSRS2IB6syhYOCaNc6jajwHSkI3F/3G14TGc6xui6ZeTSQbn0D4XlsWm
YVLIr3OcOfb5UaPkBPoK7TUHCKN1JWoBa41sSQebNjSqL7grwl0aRVezXZwYdxIaV70CImDFywRW
XbMyaj7/c658PVcYS/2i6+k+8gvPPvbtT84WHvnubJFicNIz9G+p7+/OFiI+HFZr1pu4iV7p29mC
TckBEAnVzSGWg/CcP88Wh+x50HLAIziNHB3O7N84Wwzj+1ncW9dDYL1J24X6Cmn3D7M4xVWMtCGO
49wDYJ6PiV5ZyUkz1URfdV2eXTtxLYBXZ9bJquprHMKfTRm20JC6IDRsL4iZDrXePDPr2GdtcYnJ
aehkYIORBEeoecdqLEGhk+kQGiJEBJqSojU8zknxwoJuXJRCb4dlapc3FtkQWs6sLEKd2wcQFHWT
Vj/rkmPH0G6kS8QvIwrtE1LhBTKUMFsPoXAByThGE+/11O4AL2sKtZ+K/YiRWGUkNiMw1eDiE9XO
iZ18Uzve3s6IVrgzgo7SPsiHBLiaF0bmoUni9jkZgsLvhZHrpIYQ67Hs+uTKaQsbyZhntcQiNxbm
mrdlWFo4Yl7Vb0uy/G1hxu3iU29jqhqy4tGRWzUMWRv3bc/Gwq0KysB35A4ukds4PCjHWO7n9LbD
a8nKrp5BcUYs8coAmRRLPaWZdx1LPuHky0IMO4pmH6zpYRwsJJU2PifWg02mX6b2f9g7j+Y2kjQN
/5WOuZeivDnMRiw8DegpUrpUgEblva9fv0/SdJMi1NPd4AEbMZjDzIhkAshK85nXBJuc44IuoTTJ
6mbdiI6iRWsRA90c7X3lom2kA8TW5hTHTmyakapWThKpWwE9OexoVno0LT0nPUloYjZZeSfT1HTo
06g0OSOnnfk0PV3FOzVBQU2KOL+MaYtaaTCLc3nZ0S4ta7Rzey4N2qiJZaJtYW8cuzqMRZ+VfogK
VPZHChBHpxGr0ZDtRGM2p6kHn9ulYYuE5reSBq6FpW5OQzel4T1mCe7BA9Dp8QT76FVFA3iEvNTS
ENZB4PAsp3nYLRwaxiECohUN5FEzFg0N5dAIl9TvvqtGuCBGWOdafedldKDFo/cs5wp23DRIlKVN
q1oRHTviG1rNSIIU4Ulpgi0j9ahH6dqg2R1z+tOFzWZ5lBxUtMNtrE4d2uNkZdM2jW+war3OZB8s
jLRwc+NYo62u0l6XQ3TAzEE57mi8IwBS4xWtzCJa8i6teSoc09Knr0vLXgr6o44WflZRGLCH8rG0
1IvW6S9K0e13vdY4p1i3DMwOJICrrwdDTU7LGOHGBJFTuHxqpoEeaJkvoy9OMbQ87hSWVOPoBzEJ
4bQQnPUc8voAiZ1LnRRGO7Ygt/eC5d5zq7ZxbM00CPCYgrD8YMTnOdLFBRx5SXO/j2W87gR73k6a
qwg6vSZp1iQSDHtVcO2VJ9a94N9LPqSqvJVS+ojK2tX1C12w9an2ooQqGPxt6JyFUPorHUyl4Pjn
fiTB5bXCRdEr6xohAOjyUwNhALlD5J/VwdNS0UJyhHwAtehpiqAA3jXoZw0VdVbQPG50rCE9oCBB
kJjFSS40Cboiuc+FSoE6ShQe0S0IhYIBQeO5EdsHmdA2KIXKQSr0DlyhfCARWWZCC0H1Der3yCMk
QYxOAoIJBEC3tVBQwDiAwCwZTxrR0UZkwRRqC5INOT5HvrUXDMs0bC9MpBlqpC8RnVrZUhMvgFHk
FHO6NSoiRC1C2QG7L3gUOWoPqtB9wJK9WITNcJwJTQhTC06jqLhuzQYsgN9feSbmDz56jalQOLaj
U4wxlCmVIxrRZYhxBuoTEDwdKJwoUqDdFR/5hhn9t8337NJl0PT69d2PKAdY6OHjxS/+7PeLX/0C
EUsWBnQicbS5WH+/+LUv5ls9xZdbX1e+0BfDVlCBOcNNbb/LKPl3eFdgHahTQjL7O7e+9dTDewc2
gsTj2PgkOvwXH4V3etsPA2PYm0VRJWepkuv6ulKF+fzQBKQzFNc7bOn7viVlotN8j1zH9zEb/SU2
W5e6RNNcs+6GFnuSvPFWJXIpRR6kk9o2YqAC1olcK6gAhmA/shz4iZtxcRje4C/U3KR9kXsnkuRG
AuVQTzmuT6uhfpCE9YrhdA86N9jcz6gCOdi2ZHZw1OuEA5oTriXij1LOjFnmayNNdbOd1dRbIBCX
ABKQpC6b8q4N6sWYREieq/ad1CsLv6sV8BXeyrLqkxTJkEkUEXEbRfcN+47ruB7iaRgpl5pR33qU
B5aOjQ6IArP81MODca4rDneCEZVzZfA2ROLZkpSY/jyszQAuSKYXMRGLekl7q5ggeXveq/JhIhuP
ep0stRLHbj04ooCF/wwSlD3doNKp+W1nlcjlbYO5TNbTU0kj7zarzFsnvNM6ZCN07b5ynPtSrU7L
Mbgxsv4+0u1kBl1kRCfHPIMtjuyG0a0SP5DwWIP/MkpI86P1clkF2gk6WCcjEjLTUEbqfFDR9zcK
OzkIFQz/DEV4b8j6mWR0VKxwHZsYErVZr1eOQt/0lqHUmIvCA81ZNPLcrvprs5IO1Q6SFDrWh3bW
hlzuyWk+6JCKogKmUZ6qy6EWsU6YzcqgQVAH9dhlZPnlLJSRMDRbt58bjYpIZsxPrUEFpNp9dW1r
EQfNmSk3tJxToGSSUyxLnbaUqpLCR9GBiqcLNgadN8HXBKU9uTyABozxhyq5S4RL3WkHShzvhROf
R8FvlnchhGtgJmedJx94odVPTTVc6iGsrVpfOUqfYk9gXtdhMZET7yvl1kfsbCWqFISuRmMKOIXD
FdeMt2kIlthTEeuz8hupwSw3rrpryQFZxJ9SgqZsPtfa6HKQVKDhqok4kZL9SCoaWEGWr/XBOY10
4Dr10KsTO+uOG4LXeW/TGLW6BOOfsLSpLgdAyoX3Qd1wy0BH3tQuJGOqwiiDlEDitSi8aaKZFQfX
lLBjVmBgzdlrM11vCa5qq15iv5UipghKt1dUd6qBzR7ybq3jazJLwkCbjZJ0Tp3ap5xbEGSpyUmQ
InlKTchEsRhZyN4bqclnmwjxaLHWLnXtUBp+RDKFG8mDw25Vc23ow5nvW3MbWD1Qxh9AJ9ENsvQf
5Sh/cyrnWO7ik3wY0J1BTo5+nz83B7LXISku/KbaxDocxmA4sLPxUG8csMhoPqH1ARgMLXbUOYcf
alV+96TmqMvq8ziX1nUbRhj91LMx6teag8KPIiNsDesAf8GGjmzj+O20rOsfuZQk1LA60bixNgEO
oBBmEXzMpAjToR6AZGdD625A4MCwtxGvQq5KcTDIG2CotbF5X6MgQc9VDWYcyEeVVPZLr2qahT+2
hzUsiqlaehem32/CwECPQY8AHxcVdjQeV3ClFysTO2Lgd2QOfn9ZGwUGFRSl457yNPg3wu/UKNl0
GVvCNtcxpnzzrHdPslhDCadxeyw5vEv84k6z3Ll0XH2l9YM9NVMH9dUhvnBziu+wVxdebce3IIAQ
kuhAApBLonAgNrYR3limVpP0dNGCYxUAperf9WlmTho9wPYoPeRAvxj0rF0V4E6BUDXnud6qk8Aw
wD3a9tKXA6iblYafkokptZ0e+q6pT6MiBiPangeGnuIeiGVCoAFszEpCdS/mb9v20jBDezWmzR26
Uc3EQTFggkivD6u/kDBxkn44usJ94ZfB0nakc0QA7kyNvV3E2CUSpElTGvLeJEVR4EQuHGzDsuJW
sRN3WtvAVZMB4w0NKufEB1KLh4G6NPJUXoR4ZS3iOrtrnOAmy1lIJHILfO3LCdQKIZWJymqnaVAv
ehr2mJYxp21gHsBTQAxWp50DTo9NA62z0dtrf4jOO+5EvPFAuwVGFU4My/AAyw8sN1v4XYb8G9QO
RHilEZigHq7himaIb1nd1JORA5Ai0KEQVoH8PRiZcQY357FHgQcx0fCWJgCRaQnczGzSY0UjWLUM
RP1suZ9YVrqSFeWgjvOSPonazCPKjLc0suODaiyuNZWNH6fajQRYsQ7qh66IF44bXnPZy0eBCbaL
+/+gCrxTMvgrAPErTaq6CZj6XmQwDYVHLCxpz1gpiNas1UGy0aGfQeC6D/pMmiUl3N0iy8fFkNkX
ipsUc8PwwZSNtA3zHPvCNm7cA7kcNqbEYqj9Vl1EkX3VpxYcZFc6DDxvUwIe8iIqgX2YAwjN+Hsr
P8si2vSZI3sYQRn3ObQRkrXgmy4D/AsL80xuzK8Z2uxuLoxLPO1HKHcWZyyUAVUt/bndp/7CtAjH
axOlZzkbWH4hQrJKMOCCMSrfzKo9QeEtmANDQStW4tT2B+p+oUU6Z0rhRk7VNfA9f1oHbojAWH4U
tHgzgBNcDiOYzkYTyqxytAq9up8GNhBIWVQHCxVPjCws47np2A84YaElYnvlAnk1eZolbTvLZFCD
EcbAg2TeJDCnqcu6xjQppCu/7K5Lh2wmDZxp1sWUbRX0jRq7nnrIz1Lw8C9rE2Qr0fxB4zXVNJGd
az1tzrwYrhSSWuQ0uQTi1GQ/adhL9Z4Uz9A5O5CInNiQoTxFoPMux820B0HpMVtcIQAyTEzNxiJ4
7CgsS7n5w5SlK4mG2MxKRFfSiVCcp59Iw/u+Hcojh5t8MljGPdKTy8IGZZl6Cj5xGqYqY6tPezO6
8ZIEVGRfqlObrCSUkoXn3uFpeUxggLENSicTpQkPc4H+zpsQIfcAykRR8jM7+uZJqIVRe7lSSlA1
wLIurAS0jwqtQne6m56YC4D5SJs2z9J5UWvedDAaEDtRwddBPgfrnBJydaZjP5Kd2fZAzd8qUI7u
uh94teHTggXm3Iu0Bco0t3nL1vVL5Tz2UpEsamvNDGrBrSknaLBdmgHPyLAUjfCy55wu03WvlwAs
TZxP7Po+TGhNUie5KXpUVJNGvh4xz+uH+IpWRzLrKo5US0a5lC613aXaxKlBh2dxc5xX5SKVMQug
mkLimsvIjpjhoyOg2a1J47NPH8ekBIKOpL5HtUdV09sAzHlthdd5S7OhIsqzIo4+v2Bl+k5nocMY
8CEbayn35Q/TJ6Szsv6blhDztSE5chzeUv45cF13Bkx0Q2PkLqybU10vDmGfKTMv6ReAprkpNXSO
CwtfVWXeG9guuEV22Vc4CujOgUOhq8BPvYbkRqN/mAwa9Ww3noNaPgbYdYDg0TQ25BZIaagM08Kz
1Og8TkfzdgBebp8UEoTL89io83Y2CHEvI5cO/1t/fqo/GxR9/yQHbRAjfdySgvJXryko1iWODXMW
/VDSPUMjO31NQRU8yeC02FiFCTaugNW81p6FibQwUJcNtB7AgfKj176m8QXbaQWpAYCrGs1A5e9k
oR+l+3ljh1Iyn0HRFbJRgch5g8qk2igXaZI1J2OcBVRLmu8wSXwStBqzpjaeDWV8YyguTLTMXQel
3c0MpaumZdqeJVV2YAHZIYZToS/iE4qj05HfcANbY4erWHApy9FDS5AIOrrlWpEAfbmdus5GQllX
Nj0MpwXWR77pRvO7Wum3ToGniO07+sIViHBHGhexLkk4i/p0skCqW54E6DsPvyJH+j0fsuvWJ7XK
amTlXdP8WiLGmwIWqh3pBkfNI9+0TgHHrdvIP6bv9r3KbMJexzorNeM+djw8hvligEgCc0mj7LBR
sm/JIA9zPdTA1ODpOS3ibmU73fWg5uUcfeWFroOgU0Ms1vQuiGly2g+FD5rejs3jqo6vOlLcqQ35
0ojsC6zHHorKOaPxh35GQQoie2E9d7vuxM7bW0ya7hF//+YWKABk6T3lDHBzUenNm7SzVpWVnMFA
WOEFMNFD7ztu9O08j+181pkR2uR5dt8pzpo+az1LBuCR+ZOHNEy/BT2DcgoZ67iuItzC3GNiw9kY
5CWxRLeQyw6bAmflqcYFHMMfgR4+ohVxpQXeEgrIbeKNQPQtPiQPyZFLeqodXGxVJllT+8I8N9tq
7Tv9D8qx2YzyPjKjrjxtSmQSAOjf6J5xodfwsu0gutI99Uejmu3BEIg/N4jjda25TaRmVWU+fQHD
JPbAQhWf63BJW+0bcF0srfMGOIkhg/FH+55utzGRddpuY7SQrZz+oC0vi9rHFDXK6b/lPLWkVrup
apgUQQLwNbhxmnDCl25FaEH0dEhZgv4HdceJ0Y0XVmwsu5QiNVfZVB9dkejCG5DrHvDLWIWzuGHF
GRaaDPbIIh4qnmGi5t68K8fLzCt519Tmxm0XrtxcjrZ2GHQoXlpqDEa1cL2ZF4Nxapvovs76W5uC
1sQy8ztZyUqE29xp2fWogMoBuN0SHJnkr2Qs7GaSBR5UlrOlOcj4eKGlUckSDp9+N8BptR+TsDgm
c8W3rArzOaWMA9MbhpnaAGHjUrnOCuxkhVwoqzGhblnfVQ0Gu3KpYMk2Ih1K5Uk90tMonfXQ7byD
WHV8bRZF3Y1qR2U7L6XKD74yDW59qtYWsFczMLSFiZVYemWR32Qzvc5HLtgyrvwpeYF1RlEqMM+G
IvDPtKL3vgVNPq9iltBE93X3JK8qCiQmSTK9XJkarG853qVfyKQjjtGfy7F0iCprgIqZ1WoGwX08
znobCvYB3BmX1CHo62AKZjDGvXbA/6+LkXY1+2KJTYV6G3WyHKzjNBfEpNgHx2Za97IHI5rG1lDS
4wbK5UCginSjmFM1srwrubbi6pvqth43tDbScCARM93vkRH4+lqGKi1NsFNr8v+WbF9KttqfX5eE
Wkm67cLk736/MB0hOKFAAcVQxkZx+48LU5W/IGyBODf92p8uTBsbAA3ojaKa4pIVOlOvFybaXvwD
lybKXiSUfw8IZP4EURU0Bh3bHI0WnaPrwlnn/YWptAbLAqjp6Wj4hxqOEXqb0WZgL41pmMFRpm4V
uvFaz2Pyfg1idKMsg7w+9Wn84X8xg9Z0nioS2Y1y2FX5Jmr0b26FwHZar/tRofmnr0YfMEEkZcPU
t7xvcBPOWwSm5maSYP5rmlPdH4qJG7MyR/bBUTIgPxtHXBJ2Uqc3meYfNU1mH6dacmb7XBQOid5k
xGoX9+87UzIWmquc+RS/8pLGCgie205pgXmk5qlNrYSjBHBPBJPwtDGzBzPLyLt7asWjb1GkaiPl
wBjs47q2DjQ3uaIY9Tjo47rSnbvYra66oc1AhnrLzGwQ5+KcyFrz1Misw7jGWsvxjWtNkmZjVn/v
fHNRtRykpUIO3jn2GcAMekjQSbvoJOzwBpEUl5gVQGloxcDySunGESLhGe4oshEe4/aCISWoFeAk
3P1YQ5OejBSdTSdZSKHzvecOxYXhWG/s7CQvzoHILBKy0sFCj9FwFo3WXwyAjLC+DGjcKBtNQeM8
lm5b3b1B4nRhNlQDHSQX8DJJ7oIBIBbt7FkCeglcYngyYJUAXLE5l3uXMk5kJl8L/QBIKupZte3R
hi+s9sSTYfd2mJHQo+6mQ9Ne+uC1+N+ohJpVPKuL9GvDx3AL+JVRQE6LOOTSCGTmxlZogw2IdvMc
wlDihJPteJYNNsZng3YR2NlR17kPqIBhV22aV3pmXkgA6qYoZh47CQFOY1j+1M+pkwelfyFhLm2g
PA1rhlJVX4RXyKfdA2zDNC5BZzd6CNPyq+cQgZmqQR2FL7XKXaUD8sMtifmMNwU0sdB0AdW1XHRc
gghaQDMbEV4zxmgJWmoVqVo8T5t+mKtV8wgOIZ/pJsxALu/bLEvmjpLHQtjBJ8SifgbYE6hPr8BB
qIBmS3RkJ2NPRmniDr8G2HxdjBGFt4YClUzGmAUScsu9bcNjSZtJXGZHMrSNYyWJFo1d3QamdQz7
6QLb9GBqBU4ylZRxXCYpBbHULelVD6SIAIq/52lxabc8eKPzMIsfT+TGfXBbSZlprQH1175osHHr
NGDZiuseWER8E4NFj8qbveixlaJ4SqdE9aJqkndEYWEBz1Yahw3q+tWU4isVK2Z0UkvlYd1KMzlC
amQAEKCIbinJwRIqaDIfogtQFYoviITeuJGiYVO35pXXt1dRjMZnb5/BJIdB4Y0U1lTKIVogfR1s
2g51bM39sV74Q2seBkFBJCjipcaA2ZpKw4bnOhzqlTHP8lxH7ALGjirpj2pf4TUrrXu5TueQcdM5
DkUbOsirIa9x6TPR+pYtcFNDZ1mToaRmpRbdZWJ1GczQWlm6qkdUiATwtGvjdNY1rED+/YcaEyoN
RuzSlKagZMfSBU2MxyphSehmEpCoW9d5WZxUMVQuVIke81w+tZDOqUJKiyiy6HMCYHVhKpgYymN5
7Crysk91njYzflSkfOkI271pU6ffdMRWFxSX05kX2CgGtdQ30CZcuYj2rDIFv1sTTpfD0Ug5alHA
RqWBq6/H2j+tYg3rEFh/syHQLtEH7oDegyGv5GVY6lf5yFmZKZeKV6jTbIQQIGfWxvNy3D984C56
MOsCAHKG3FyjcqJMAWMW2AHTmikNFnVUud9ac/xW1pTdK91bebGESZXSCNp7NNHr5jK3UTMqI56v
JmG/QLtq2oFWnngJHZQSMBqnfOY7pxx0S6/w0WLXqysYw18jtb4pC8jScdTc6A5mVIraKRTMVbBn
VdiigeobUwxnBMOugLquaAdlFV6mprYccxAUbqR86yLK/g4eWEbshFPbiQS+3iSwU7+25nlXHY7u
bUfzzNfOacJM6Hp9pcp0HWgJjyatl4jPnKg5zcI8VqqVHJqPCgf9XEEKkLouW5tu5UoyKJxY5hhA
RgpAyOr6LHO64yqPgVWoK6uPOX6DYT4OyiWc9yM/G8YJJKMbq6ZFIBf1YVGfCJxNbUCd8yzvDIId
iBesoZcqjpZTHAhulGFc4qsRHtNpURaI/a4dbC4XuBpEC63uw8lIRxGmFmVowxXagt6hQaNxWpm2
AMxmHv0HBKPUld5nj2ja+esurSd6TrnLsG7CLOmWKPQCWamLcThRKM5P/YrnjA2YufJsvL8CV3BB
qkO3Hp1TBcrJqTxKmHuBKzpASeUkLn3b3jT6MCzHHvUiP7eLOZdHuCDtXSSGsgb5dcBpdGiScEe2
TnOxpm0klbr2NbByToi2oP9WSSuqUCdgWr1V6suP2iA/ImN9x5WDzwT6toNM7di2KErKfHU+Y6Up
2QyT3vs+wBXY8HzM2kIVyy1EF1PPvPX7pF0OCubEXeHPC1iVFHnHhdlKhNyWeeQJeNFdLR8qunsR
udZKkjoVxhfJdd7jIdckyjSK5Wumn1tciR/Ryz9sVc9a5MCsyspchja2Y4Zm4QPey6RSpSxkoiFE
K0V3m9Y9ba/40tCHmRkb1whqkUmENE/G6KDTzUUZ4LTAPqGF1KNAmaOcpN9zuJ7VTpdO0YtGD8gs
LiDZLDjglGWnQzV3FCwafJAn1qisUrNWhdL2qeWAUY1cHwq+Ew3zsge0zLkf48E0+qC40T7qIeLn
JhLTQaZuRlSUcazolhb1wIlimycEubdlmR/3VmxRbpbmCqLORmd/42qhr6NelEV7xM5dgRyUIRD5
1zmuA9D6wOwoXLWRchy49ZEbZzdGrtxi9sIdkVo3ldqvM7IfZDocusmIrwK38r5SjkiRUIoPxuCw
1Ms1fZlF3qm0PgL73Ddy7mjJvG7ydj32SHCnwV2s4w8e0Z6stOG47e1mNZQDddbeXCcKvqpmwkEo
+UvZCGiSGfoqykCsy+NRU2oa/EyQPCbMz7BLkjPNpddNk0uaSF2pzlofZB8KH8IKRaWbnaTDNK8s
fW6P5arSVbrOcnhndcQwdt+cWTmeAE7ZZku8XKvjpICBW2jdEW41NoeSu4xiV1o6T/A/9QkKCBQI
WKBZS4emQArifnvgPIEH4ycg4fgEKvz/Ur18oTVuVRT8XblG/PTJn/Uq+yA7+Jd+6RWbun2gFxnC
LRKFbwubBjXKn3K7p8/0pI/4Z0PEGzpfzQPyh5r1RcWg2QTugoItLzKnOEu9lx9LCvVQ8j4V6I0C
95TX28e4/cN/VGb81Uz900kQpdwnJciDh3//6znL1dG+fFcU/iszwThvpsJmKsD6IuO1fSrwqZJ1
9Ebll/d6s1D+2Rf8KxP168e4ZRJEIXvHScCf25YNUDzPc/BxPVhf0I+UVXSi9nQlyGC2dpwEB0My
NLxNhcKCeIl18nZTiJUg2xpYc0oavNf+rQSh0bvbJOgyPQ0TlJ7Kznr/7fUvCqYZaG5QvtnjI0E8
tt3mQKMZhMEzivbwrMWLls/7qYC6zfGJLsnzztu3hSA+9s6TYH2B/8DDNrWnORDqsO8nQf2CHArU
i+f53rc5YA/vfDeAQLUMen8q3bin14c50Dky0Og11b2dhJ1PBM0Whgzocv1qNxArWLwQZHk+gvdw
Jex+QaJ7yFIHJct3fL8NODCpr8FCfQ6l9vNEYDf83A/4J5ES3QCV+j3N8K33Iz0BW9ygexspqbsH
CSJcFB3/lxPhw7HIbgCGazvoeu9pkCA/Ry9/KKj/k5UgiyNR06znc/HDBakKVp4NPoif7GWkJP8s
ovpPJgG1LsjcL/ejuHI/nAwC0EEd7mm77OvJoO2+HtQvFjAY9OR/XghAbhRUZBRUAZ5Xyp4uB3X3
eMnGmdgSj/slpea8fb8cFEiswIQgmez1VAjK647xM5ApWsMGaj6/f9V3UyEiBhv5IlvZ10Tq5fDe
5YwkiRAKhGiP/bwQOBzBoSFfsa9Bo7J7vMSJwGlgiPX+9Pp5NyjGF4MVYiBztdeHo7L7PaF/QdFI
1Wz95Qj8cEYSUoCY0IVul3jt6z0hbLh2Phgg17MtkHR4PQPfHww2W8MxYQfua9yg7B5Bml/QTydz
fl0PP8cNovbKzyguPK+9/cunlN1zCYN64lOF5aXiyKJ/vxIc4UzrYGO0t5PwGfck+RTXgPVScPx5
EgBZAW/CBUi4Ku5lGP1yge92T1JB4egjg356ccq8WwlUXcFYK0hLPddz9m87CLT4jgejgYkm7D8H
zZGn15aVYLJTqDju7UrYvdomf9EpMtmO+jwHomLxfiVQX+DHQiRmT7fDB5fvf5JV4oiK2DWFlKcX
X/X9JChfdEf8h9NTvPY2Wtg9o4KuIWTeDJzTnl4/B06cDOBLWQ2iQL+Xx6O286agU4v4KgIHlJSe
Xz+vB3QVVPyP8G/f00kQ7qg7Ho8W1jI61yQY5NdF/25TEDI5Jiq1SLS/TtJ+rofdo0e6cPQgKai8
XJc/H5JUXEBDy5Qi9nU5PJ9Yu4UMikggUAbZvhxUjbYMjG7ci/Z0EvTnD7bLJAiY/ZPk2Us1/ueF
wOlIUc7U2Tl7OgkvTbNdJgFYgox89u/l+A9XBDEFagWk1vt9W+q735ZwNTRVpT3zUnT7MBU4jgqk
i+7saxyt7pxW0rDVnScCJfQS8eKrvrsoyKjQraWT+ZLC7l8y8YIt2WFTiK418rzkE6+diZ8nQYWG
Q/WN3HJPT4YPCvt/P47GRdfSYdMKopF4fdgOgHno08ny/m6H3fsy5hekNgWy7Vd3BGcCVwQUqn0t
RYvq+Y7BI+VVhEF1DsbnaGHLRQmkCbSPvbeTsHu0QFcakQdbk19KTR8mge4U5QdOxr29HZ6TvB0O
Rk2jKUGDzjZ/gesidkZ7lhNhb7NqLL933Q7ECZRZaEz9CsUhfElQcudU2NPbQQi+73gmkC+iLUjv
/iVY+lBlkb9QZ0KJ4aU5vn9xwgdJxr99RQqoJ+V1CiwvV+SHSaDyyrGI0tK+Fpm05yW6y5kgXHMI
iynDP8cJBOLvI0ZCSlmVgcTu68Go7X47UGljGeh4M/ziilS4Q+lYOc7z9bG362H3NOqp1GRhN/iy
HrZsCvBd1B9QexGn0P6dDB8MQP72ySAA0KasAf59zpq3VeL5oUzavd/rQbhG73hT6KK8KmrMv8ay
oGym6ZySzwfIvq6K3ctuFFtAKdCneylFf0iplC+UqRWCyH2F9QhrzR3XAxIWOgL6hvmrdiWBNAYC
QCOf32sPz4edL00iB8De4Pq0X8WQGNihtIVa1r5emsbOJwOTAHjJBNvzi5OBAixQaOIGnGjFa1/v
iw/Can//vgDSoqH3QjHlOX7gq74LogQoGjcp8H77mlO8fLBdIkmhLieEaKhAPr1+ngRqj1ypioKg
w57eEUL3fMfjEUIMcYEm/woZ/rQSAAWaLzDT/TsehcrQjpMAY8YC4kbu9NM+UCnNWgD9INL99SXw
F6bod+7x1A/ihydqcvBYPRGCn9mm//EXXjm5Hwd4w7l9Yh6/+01BVX4e+5mZK/7//2we8NucBVVd
Bve1+hQhv/npa8T89E4vf//yFT+++bs3e/1er/+4wstuU977w9MPhpcPerJJYDj/b8x/PWx+ZgyL
ws/rv22hWb9FOP756Ej4P74O9AcdWeZW+eOr/vtf72fizbr608GTzUNWvg70ZnDWzM6DT3B52fbB
+eY7jz3dxJuWR1K9jvXms3Pk7T4+mmXVh0dKBsKx9QmDp3WJb29W1dvegp2881vMHuPfTrJy6/wT
J+08/jz+bZaVLJ7Xsd7MP2nszuMvyscq3TY4ke7Ogy/jxzR9HefNB/+M7bpqkrssfqg/Di8I0zt/
9IMkfyyDTfw61B+fXgDpdx8exffXYd4M/Rk79uix3DLnoje686c+ClJvy0Eg8NM7j328ibacYQKL
+glDV9Xjtjn5jA16nFW//W/qPcaP22bmM7boevPAAfw6D29Wy2ds0fUGo58tY3/GFhVjI0215aML
+NjOj3X9mD5k98G200tw+D9h/PL+8eF1oD/mXUBcdh8847O/jvNm7M/Yputs65x8xi5l6PqxfBy2
fPLP2Kknm3zbavmMfXry2G4+xo6GLLgIOz/N03LDEfA60JvH+Rlb9Cze3D9uiR0FbHznT36Gmta2
4E7043Ye/CIgdKyChy0zI/Rtdh7/cnNfkhKk9Za7VMC2P+EN0t8mj+hGb3uDz9iqlxvxBmW6KR+2
HmTaZ2xa8Saz4NHb9iU+Y9eK8RfsgPugut/2Hp+xfcV7HGabotl2W4lu2ac86+MmqH47vQuqfNv3
+IzNLL7HelM/bhv/M/Yz49eb3yab8m6zLWYQzZPPmCneY4o5w5bDWrTQPusdymZ8HeyPM1XgyHZ/
A3+zNSfUP2VTU8PYOjWfspmDKsKUr3mdhDcT8yl7OYs326IH0SnffdYJTJJta+ZT9u9/cqt+kpnb
oUB0KcosW+5hgfPdeWquHv3NtqkRPY3dB/9TM89d5+Xqz2xadh/8T0Xtdx3+K3PbbNuromy+87x/
y+It57woRu8+dHO3ZSMJKNl/GHpbWfZ3xMPHYu2rsOG2P3tfixa/cR8/bsr/+T8AAAD//w==</cx:binary>
              </cx:geoCache>
            </cx:geography>
          </cx:layoutPr>
          <cx:valueColors>
            <cx:minColor>
              <a:schemeClr val="accent1">
                <a:lumMod val="60000"/>
                <a:lumOff val="40000"/>
              </a:schemeClr>
            </cx:minColor>
            <cx:maxColor>
              <a:schemeClr val="accent1">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1.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2.png"/><Relationship Id="rId4" Type="http://schemas.microsoft.com/office/2014/relationships/chartEx" Target="../charts/chartEx2.xml"/><Relationship Id="rId9"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rgbClr val="EBF3FB"/>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bg2">
                <a:lumMod val="10000"/>
              </a:schemeClr>
            </a:solidFill>
          </a:endParaRPr>
        </a:p>
      </xdr:txBody>
    </xdr:sp>
    <xdr:clientData/>
  </xdr:twoCellAnchor>
  <xdr:twoCellAnchor>
    <xdr:from>
      <xdr:col>0</xdr:col>
      <xdr:colOff>0</xdr:colOff>
      <xdr:row>0</xdr:row>
      <xdr:rowOff>31508</xdr:rowOff>
    </xdr:from>
    <xdr:to>
      <xdr:col>3</xdr:col>
      <xdr:colOff>0</xdr:colOff>
      <xdr:row>42</xdr:row>
      <xdr:rowOff>163419</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31508"/>
          <a:ext cx="1979706" cy="7779926"/>
        </a:xfrm>
        <a:prstGeom prst="rect">
          <a:avLst/>
        </a:prstGeom>
        <a:solidFill>
          <a:schemeClr val="tx2">
            <a:lumMod val="90000"/>
            <a:lumOff val="1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10000"/>
              </a:schemeClr>
            </a:solidFill>
          </a:endParaRPr>
        </a:p>
      </xdr:txBody>
    </xdr:sp>
    <xdr:clientData/>
  </xdr:twoCellAnchor>
  <xdr:twoCellAnchor>
    <xdr:from>
      <xdr:col>0</xdr:col>
      <xdr:colOff>0</xdr:colOff>
      <xdr:row>5</xdr:row>
      <xdr:rowOff>42637</xdr:rowOff>
    </xdr:from>
    <xdr:to>
      <xdr:col>1</xdr:col>
      <xdr:colOff>860695</xdr:colOff>
      <xdr:row>7</xdr:row>
      <xdr:rowOff>46628</xdr:rowOff>
    </xdr:to>
    <xdr:sp macro="" textlink="Pivots!A4">
      <xdr:nvSpPr>
        <xdr:cNvPr id="5" name="TextBox 4">
          <a:extLst>
            <a:ext uri="{FF2B5EF4-FFF2-40B4-BE49-F238E27FC236}">
              <a16:creationId xmlns:a16="http://schemas.microsoft.com/office/drawing/2014/main" id="{CAC63585-9F43-E50A-DFFB-AE02F1584C70}"/>
            </a:ext>
          </a:extLst>
        </xdr:cNvPr>
        <xdr:cNvSpPr txBox="1"/>
      </xdr:nvSpPr>
      <xdr:spPr>
        <a:xfrm>
          <a:off x="0" y="949780"/>
          <a:ext cx="1087481" cy="36684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3A4CD26C-3F5D-4FFB-8C16-BFA93C7CD40D}" type="TxLink">
            <a:rPr lang="en-US" sz="2000" b="0" i="0" u="none" strike="noStrike" cap="none" spc="0">
              <a:ln w="0"/>
              <a:solidFill>
                <a:schemeClr val="bg1"/>
              </a:solidFill>
              <a:effectLst>
                <a:outerShdw blurRad="38100" dist="25400" dir="5400000" algn="ctr" rotWithShape="0">
                  <a:srgbClr val="6E747A">
                    <a:alpha val="43000"/>
                  </a:srgbClr>
                </a:outerShdw>
              </a:effectLst>
              <a:latin typeface="Aptos Narrow"/>
            </a:rPr>
            <a:pPr algn="ctr"/>
            <a:t>2400</a:t>
          </a:fld>
          <a:endParaRPr lang="en-IN" sz="20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0</xdr:col>
      <xdr:colOff>70576</xdr:colOff>
      <xdr:row>8</xdr:row>
      <xdr:rowOff>179312</xdr:rowOff>
    </xdr:from>
    <xdr:to>
      <xdr:col>1</xdr:col>
      <xdr:colOff>831547</xdr:colOff>
      <xdr:row>11</xdr:row>
      <xdr:rowOff>69004</xdr:rowOff>
    </xdr:to>
    <xdr:sp macro="" textlink="Pivots!B4">
      <xdr:nvSpPr>
        <xdr:cNvPr id="7" name="TextBox 6">
          <a:extLst>
            <a:ext uri="{FF2B5EF4-FFF2-40B4-BE49-F238E27FC236}">
              <a16:creationId xmlns:a16="http://schemas.microsoft.com/office/drawing/2014/main" id="{39E32E97-D670-4B26-A105-C65F95DC0AEF}"/>
            </a:ext>
          </a:extLst>
        </xdr:cNvPr>
        <xdr:cNvSpPr txBox="1"/>
      </xdr:nvSpPr>
      <xdr:spPr>
        <a:xfrm>
          <a:off x="70576" y="1630741"/>
          <a:ext cx="987757" cy="43397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8C6CBDEB-A67B-401F-A5A2-220E8C8C2784}" type="TxLink">
            <a:rPr lang="en-US" sz="2000" b="0" i="0" u="none" strike="noStrike" cap="none" spc="0">
              <a:ln w="0"/>
              <a:solidFill>
                <a:schemeClr val="bg1"/>
              </a:solidFill>
              <a:effectLst>
                <a:outerShdw blurRad="38100" dist="25400" dir="5400000" algn="ctr" rotWithShape="0">
                  <a:srgbClr val="6E747A">
                    <a:alpha val="43000"/>
                  </a:srgbClr>
                </a:outerShdw>
              </a:effectLst>
              <a:latin typeface="Aptos Narrow"/>
            </a:rPr>
            <a:pPr algn="ctr"/>
            <a:t>11997</a:t>
          </a:fld>
          <a:endParaRPr lang="en-US" sz="4000" b="0" i="0" u="none" strike="noStrike" cap="none" spc="0">
            <a:ln w="0"/>
            <a:solidFill>
              <a:schemeClr val="bg1"/>
            </a:solidFill>
            <a:effectLst>
              <a:outerShdw blurRad="38100" dist="25400" dir="5400000" algn="ctr" rotWithShape="0">
                <a:srgbClr val="6E747A">
                  <a:alpha val="43000"/>
                </a:srgbClr>
              </a:outerShdw>
            </a:effectLst>
            <a:latin typeface="Aptos Narrow"/>
          </a:endParaRPr>
        </a:p>
      </xdr:txBody>
    </xdr:sp>
    <xdr:clientData/>
  </xdr:twoCellAnchor>
  <xdr:twoCellAnchor>
    <xdr:from>
      <xdr:col>0</xdr:col>
      <xdr:colOff>32415</xdr:colOff>
      <xdr:row>13</xdr:row>
      <xdr:rowOff>6531</xdr:rowOff>
    </xdr:from>
    <xdr:to>
      <xdr:col>1</xdr:col>
      <xdr:colOff>1075992</xdr:colOff>
      <xdr:row>15</xdr:row>
      <xdr:rowOff>7559</xdr:rowOff>
    </xdr:to>
    <xdr:sp macro="" textlink="Pivots!C4">
      <xdr:nvSpPr>
        <xdr:cNvPr id="8" name="TextBox 7">
          <a:extLst>
            <a:ext uri="{FF2B5EF4-FFF2-40B4-BE49-F238E27FC236}">
              <a16:creationId xmlns:a16="http://schemas.microsoft.com/office/drawing/2014/main" id="{8A3FD58F-8B16-4194-BD13-782DBF3DBA6C}"/>
            </a:ext>
          </a:extLst>
        </xdr:cNvPr>
        <xdr:cNvSpPr txBox="1"/>
      </xdr:nvSpPr>
      <xdr:spPr>
        <a:xfrm>
          <a:off x="32415" y="2365102"/>
          <a:ext cx="1270363" cy="36388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1A444704-ED6F-4585-8AAD-E1792DCEBAAC}" type="TxLink">
            <a:rPr lang="en-US" sz="2000" b="0" i="0" u="none" strike="noStrike" cap="none" spc="0">
              <a:ln w="0"/>
              <a:solidFill>
                <a:schemeClr val="bg1"/>
              </a:solidFill>
              <a:effectLst>
                <a:outerShdw blurRad="38100" dist="25400" dir="5400000" algn="ctr" rotWithShape="0">
                  <a:srgbClr val="6E747A">
                    <a:alpha val="43000"/>
                  </a:srgbClr>
                </a:outerShdw>
              </a:effectLst>
              <a:latin typeface="Aptos Narrow"/>
            </a:rPr>
            <a:pPr algn="ctr"/>
            <a:t>649019.8</a:t>
          </a:fld>
          <a:endParaRPr lang="en-US" sz="20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0</xdr:col>
      <xdr:colOff>54793</xdr:colOff>
      <xdr:row>16</xdr:row>
      <xdr:rowOff>149741</xdr:rowOff>
    </xdr:from>
    <xdr:to>
      <xdr:col>1</xdr:col>
      <xdr:colOff>1203417</xdr:colOff>
      <xdr:row>18</xdr:row>
      <xdr:rowOff>127244</xdr:rowOff>
    </xdr:to>
    <xdr:sp macro="" textlink="Pivots!D4">
      <xdr:nvSpPr>
        <xdr:cNvPr id="9" name="TextBox 8">
          <a:extLst>
            <a:ext uri="{FF2B5EF4-FFF2-40B4-BE49-F238E27FC236}">
              <a16:creationId xmlns:a16="http://schemas.microsoft.com/office/drawing/2014/main" id="{298E0DB9-B626-4BE0-8E90-6E69F1E3B9E7}"/>
            </a:ext>
          </a:extLst>
        </xdr:cNvPr>
        <xdr:cNvSpPr txBox="1"/>
      </xdr:nvSpPr>
      <xdr:spPr>
        <a:xfrm>
          <a:off x="54793" y="3052598"/>
          <a:ext cx="1375410" cy="3403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C53D720A-BFE1-4FD5-A567-1FF4A0212BAA}" type="TxLink">
            <a:rPr lang="en-US" sz="2000" b="0" i="0" u="none" strike="noStrike" cap="none" spc="0">
              <a:ln w="0"/>
              <a:solidFill>
                <a:schemeClr val="bg1"/>
              </a:solidFill>
              <a:effectLst>
                <a:outerShdw blurRad="38100" dist="25400" dir="5400000" algn="ctr" rotWithShape="0">
                  <a:srgbClr val="6E747A">
                    <a:alpha val="43000"/>
                  </a:srgbClr>
                </a:outerShdw>
              </a:effectLst>
              <a:latin typeface="Aptos Narrow"/>
            </a:rPr>
            <a:pPr/>
            <a:t>3.962083333</a:t>
          </a:fld>
          <a:endParaRPr lang="en-IN" sz="40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0</xdr:col>
      <xdr:colOff>86301</xdr:colOff>
      <xdr:row>20</xdr:row>
      <xdr:rowOff>152037</xdr:rowOff>
    </xdr:from>
    <xdr:to>
      <xdr:col>1</xdr:col>
      <xdr:colOff>890755</xdr:colOff>
      <xdr:row>22</xdr:row>
      <xdr:rowOff>122826</xdr:rowOff>
    </xdr:to>
    <xdr:sp macro="" textlink="Pivots!E4">
      <xdr:nvSpPr>
        <xdr:cNvPr id="10" name="TextBox 9">
          <a:extLst>
            <a:ext uri="{FF2B5EF4-FFF2-40B4-BE49-F238E27FC236}">
              <a16:creationId xmlns:a16="http://schemas.microsoft.com/office/drawing/2014/main" id="{2AE9F289-A4D3-493F-97F7-1E65D89F70AA}"/>
            </a:ext>
          </a:extLst>
        </xdr:cNvPr>
        <xdr:cNvSpPr txBox="1"/>
      </xdr:nvSpPr>
      <xdr:spPr>
        <a:xfrm>
          <a:off x="86301" y="3780608"/>
          <a:ext cx="1031240" cy="33364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5627D187-96C9-46FE-98D1-408558B4B5BB}" type="TxLink">
            <a:rPr lang="en-US" sz="2000" b="0" i="0" u="none" strike="noStrike" cap="none" spc="0">
              <a:ln w="0"/>
              <a:solidFill>
                <a:schemeClr val="bg1"/>
              </a:solidFill>
              <a:effectLst>
                <a:outerShdw blurRad="38100" dist="25400" dir="5400000" algn="ctr" rotWithShape="0">
                  <a:srgbClr val="6E747A">
                    <a:alpha val="43000"/>
                  </a:srgbClr>
                </a:outerShdw>
              </a:effectLst>
              <a:latin typeface="Aptos Narrow"/>
            </a:rPr>
            <a:pPr algn="ctr"/>
            <a:t>2.3425</a:t>
          </a:fld>
          <a:endParaRPr lang="en-IN" sz="40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0</xdr:col>
      <xdr:colOff>12034</xdr:colOff>
      <xdr:row>3</xdr:row>
      <xdr:rowOff>110669</xdr:rowOff>
    </xdr:from>
    <xdr:to>
      <xdr:col>1</xdr:col>
      <xdr:colOff>925708</xdr:colOff>
      <xdr:row>5</xdr:row>
      <xdr:rowOff>97787</xdr:rowOff>
    </xdr:to>
    <xdr:sp macro="" textlink="">
      <xdr:nvSpPr>
        <xdr:cNvPr id="11" name="TextBox 10">
          <a:extLst>
            <a:ext uri="{FF2B5EF4-FFF2-40B4-BE49-F238E27FC236}">
              <a16:creationId xmlns:a16="http://schemas.microsoft.com/office/drawing/2014/main" id="{262A4242-AA9A-06F4-1957-87EA3B95E9B3}"/>
            </a:ext>
          </a:extLst>
        </xdr:cNvPr>
        <xdr:cNvSpPr txBox="1"/>
      </xdr:nvSpPr>
      <xdr:spPr>
        <a:xfrm>
          <a:off x="12034" y="654955"/>
          <a:ext cx="1140460" cy="349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0" i="0" u="none" strike="noStrike">
              <a:solidFill>
                <a:schemeClr val="bg1"/>
              </a:solidFill>
              <a:effectLst/>
              <a:latin typeface="+mn-lt"/>
              <a:ea typeface="+mn-ea"/>
              <a:cs typeface="+mn-cs"/>
            </a:rPr>
            <a:t>🛒</a:t>
          </a:r>
          <a:r>
            <a:rPr lang="en-IN" sz="1400" b="0" i="0" u="none" strike="noStrike" baseline="0">
              <a:solidFill>
                <a:schemeClr val="bg1"/>
              </a:solidFill>
              <a:effectLst/>
              <a:latin typeface="+mn-lt"/>
              <a:ea typeface="+mn-ea"/>
              <a:cs typeface="+mn-cs"/>
            </a:rPr>
            <a:t>   </a:t>
          </a:r>
          <a:r>
            <a:rPr lang="en-IN" sz="1400">
              <a:solidFill>
                <a:schemeClr val="bg1"/>
              </a:solidFill>
            </a:rPr>
            <a:t>Orders</a:t>
          </a:r>
        </a:p>
      </xdr:txBody>
    </xdr:sp>
    <xdr:clientData/>
  </xdr:twoCellAnchor>
  <xdr:twoCellAnchor>
    <xdr:from>
      <xdr:col>0</xdr:col>
      <xdr:colOff>0</xdr:colOff>
      <xdr:row>7</xdr:row>
      <xdr:rowOff>64285</xdr:rowOff>
    </xdr:from>
    <xdr:to>
      <xdr:col>1</xdr:col>
      <xdr:colOff>1131025</xdr:colOff>
      <xdr:row>9</xdr:row>
      <xdr:rowOff>11853</xdr:rowOff>
    </xdr:to>
    <xdr:sp macro="" textlink="">
      <xdr:nvSpPr>
        <xdr:cNvPr id="13" name="TextBox 12">
          <a:extLst>
            <a:ext uri="{FF2B5EF4-FFF2-40B4-BE49-F238E27FC236}">
              <a16:creationId xmlns:a16="http://schemas.microsoft.com/office/drawing/2014/main" id="{07325F2E-8042-7472-924B-C947FA31F7EE}"/>
            </a:ext>
          </a:extLst>
        </xdr:cNvPr>
        <xdr:cNvSpPr txBox="1"/>
      </xdr:nvSpPr>
      <xdr:spPr>
        <a:xfrm>
          <a:off x="0" y="1334285"/>
          <a:ext cx="1357811" cy="310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0" i="0" u="none" strike="noStrike">
              <a:solidFill>
                <a:schemeClr val="bg2">
                  <a:lumMod val="10000"/>
                </a:schemeClr>
              </a:solidFill>
              <a:effectLst/>
              <a:latin typeface="+mn-lt"/>
              <a:ea typeface="+mn-ea"/>
              <a:cs typeface="+mn-cs"/>
            </a:rPr>
            <a:t>👕</a:t>
          </a:r>
          <a:r>
            <a:rPr lang="en-IN" sz="1400" b="0" i="0" u="none" strike="noStrike" baseline="0">
              <a:solidFill>
                <a:schemeClr val="bg2">
                  <a:lumMod val="10000"/>
                </a:schemeClr>
              </a:solidFill>
              <a:effectLst/>
              <a:latin typeface="+mn-lt"/>
              <a:ea typeface="+mn-ea"/>
              <a:cs typeface="+mn-cs"/>
            </a:rPr>
            <a:t>   </a:t>
          </a:r>
          <a:r>
            <a:rPr lang="en-IN" sz="1400">
              <a:solidFill>
                <a:schemeClr val="bg1"/>
              </a:solidFill>
            </a:rPr>
            <a:t>Quantity</a:t>
          </a:r>
        </a:p>
      </xdr:txBody>
    </xdr:sp>
    <xdr:clientData/>
  </xdr:twoCellAnchor>
  <xdr:twoCellAnchor>
    <xdr:from>
      <xdr:col>0</xdr:col>
      <xdr:colOff>31690</xdr:colOff>
      <xdr:row>11</xdr:row>
      <xdr:rowOff>115630</xdr:rowOff>
    </xdr:from>
    <xdr:to>
      <xdr:col>1</xdr:col>
      <xdr:colOff>940284</xdr:colOff>
      <xdr:row>12</xdr:row>
      <xdr:rowOff>124520</xdr:rowOff>
    </xdr:to>
    <xdr:sp macro="" textlink="">
      <xdr:nvSpPr>
        <xdr:cNvPr id="14" name="TextBox 13">
          <a:extLst>
            <a:ext uri="{FF2B5EF4-FFF2-40B4-BE49-F238E27FC236}">
              <a16:creationId xmlns:a16="http://schemas.microsoft.com/office/drawing/2014/main" id="{BD7581A2-66FB-861C-0056-B6A44FAD1032}"/>
            </a:ext>
          </a:extLst>
        </xdr:cNvPr>
        <xdr:cNvSpPr txBox="1"/>
      </xdr:nvSpPr>
      <xdr:spPr>
        <a:xfrm>
          <a:off x="31690" y="2111344"/>
          <a:ext cx="1135380" cy="190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0" i="0" u="none" strike="noStrike">
              <a:solidFill>
                <a:schemeClr val="bg2">
                  <a:lumMod val="10000"/>
                </a:schemeClr>
              </a:solidFill>
              <a:effectLst/>
              <a:latin typeface="+mn-lt"/>
              <a:ea typeface="+mn-ea"/>
              <a:cs typeface="+mn-cs"/>
            </a:rPr>
            <a:t>💰</a:t>
          </a:r>
          <a:r>
            <a:rPr lang="en-IN" sz="1100" b="0" i="0" u="none" strike="noStrike" baseline="0">
              <a:solidFill>
                <a:schemeClr val="bg2">
                  <a:lumMod val="10000"/>
                </a:schemeClr>
              </a:solidFill>
              <a:effectLst/>
              <a:latin typeface="+mn-lt"/>
              <a:ea typeface="+mn-ea"/>
              <a:cs typeface="+mn-cs"/>
            </a:rPr>
            <a:t>    </a:t>
          </a:r>
          <a:r>
            <a:rPr lang="en-IN" sz="1400">
              <a:solidFill>
                <a:schemeClr val="bg1"/>
              </a:solidFill>
            </a:rPr>
            <a:t>Amount</a:t>
          </a:r>
          <a:endParaRPr lang="en-IN" sz="1100">
            <a:solidFill>
              <a:schemeClr val="bg1"/>
            </a:solidFill>
          </a:endParaRPr>
        </a:p>
      </xdr:txBody>
    </xdr:sp>
    <xdr:clientData/>
  </xdr:twoCellAnchor>
  <xdr:twoCellAnchor>
    <xdr:from>
      <xdr:col>10</xdr:col>
      <xdr:colOff>242794</xdr:colOff>
      <xdr:row>0</xdr:row>
      <xdr:rowOff>29285</xdr:rowOff>
    </xdr:from>
    <xdr:to>
      <xdr:col>17</xdr:col>
      <xdr:colOff>491638</xdr:colOff>
      <xdr:row>17</xdr:row>
      <xdr:rowOff>10039</xdr:rowOff>
    </xdr:to>
    <xdr:sp macro="" textlink="">
      <xdr:nvSpPr>
        <xdr:cNvPr id="23" name="TextBox 22">
          <a:extLst>
            <a:ext uri="{FF2B5EF4-FFF2-40B4-BE49-F238E27FC236}">
              <a16:creationId xmlns:a16="http://schemas.microsoft.com/office/drawing/2014/main" id="{CCA37D4E-F22A-A15C-9C5E-837696F44654}"/>
            </a:ext>
          </a:extLst>
        </xdr:cNvPr>
        <xdr:cNvSpPr txBox="1"/>
      </xdr:nvSpPr>
      <xdr:spPr>
        <a:xfrm>
          <a:off x="6121213" y="29285"/>
          <a:ext cx="4530425" cy="30763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bg2">
                  <a:lumMod val="10000"/>
                </a:schemeClr>
              </a:solidFill>
            </a:rPr>
            <a:t>How they like to buy?</a:t>
          </a:r>
        </a:p>
      </xdr:txBody>
    </xdr:sp>
    <xdr:clientData/>
  </xdr:twoCellAnchor>
  <xdr:twoCellAnchor>
    <xdr:from>
      <xdr:col>0</xdr:col>
      <xdr:colOff>0</xdr:colOff>
      <xdr:row>15</xdr:row>
      <xdr:rowOff>53038</xdr:rowOff>
    </xdr:from>
    <xdr:to>
      <xdr:col>1</xdr:col>
      <xdr:colOff>1306768</xdr:colOff>
      <xdr:row>17</xdr:row>
      <xdr:rowOff>3811</xdr:rowOff>
    </xdr:to>
    <xdr:sp macro="" textlink="">
      <xdr:nvSpPr>
        <xdr:cNvPr id="15" name="TextBox 14">
          <a:extLst>
            <a:ext uri="{FF2B5EF4-FFF2-40B4-BE49-F238E27FC236}">
              <a16:creationId xmlns:a16="http://schemas.microsoft.com/office/drawing/2014/main" id="{898D2C8F-908B-C437-268C-169DB1602252}"/>
            </a:ext>
          </a:extLst>
        </xdr:cNvPr>
        <xdr:cNvSpPr txBox="1"/>
      </xdr:nvSpPr>
      <xdr:spPr>
        <a:xfrm>
          <a:off x="0" y="2774467"/>
          <a:ext cx="1533554" cy="31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bg2">
                  <a:lumMod val="10000"/>
                </a:schemeClr>
              </a:solidFill>
              <a:effectLst/>
              <a:latin typeface="+mn-lt"/>
              <a:ea typeface="+mn-ea"/>
              <a:cs typeface="+mn-cs"/>
            </a:rPr>
            <a:t>⭐</a:t>
          </a:r>
          <a:r>
            <a:rPr lang="en-IN" sz="1400">
              <a:solidFill>
                <a:schemeClr val="bg2">
                  <a:lumMod val="10000"/>
                </a:schemeClr>
              </a:solidFill>
            </a:rPr>
            <a:t>   </a:t>
          </a:r>
          <a:r>
            <a:rPr lang="en-IN" sz="1400">
              <a:solidFill>
                <a:schemeClr val="bg1"/>
              </a:solidFill>
            </a:rPr>
            <a:t>Avg. Rating</a:t>
          </a:r>
        </a:p>
      </xdr:txBody>
    </xdr:sp>
    <xdr:clientData/>
  </xdr:twoCellAnchor>
  <xdr:twoCellAnchor>
    <xdr:from>
      <xdr:col>0</xdr:col>
      <xdr:colOff>0</xdr:colOff>
      <xdr:row>19</xdr:row>
      <xdr:rowOff>51828</xdr:rowOff>
    </xdr:from>
    <xdr:to>
      <xdr:col>1</xdr:col>
      <xdr:colOff>1498902</xdr:colOff>
      <xdr:row>20</xdr:row>
      <xdr:rowOff>180159</xdr:rowOff>
    </xdr:to>
    <xdr:sp macro="" textlink="">
      <xdr:nvSpPr>
        <xdr:cNvPr id="16" name="TextBox 15">
          <a:extLst>
            <a:ext uri="{FF2B5EF4-FFF2-40B4-BE49-F238E27FC236}">
              <a16:creationId xmlns:a16="http://schemas.microsoft.com/office/drawing/2014/main" id="{63A7D990-5315-379B-C534-D41FD0E03FC1}"/>
            </a:ext>
          </a:extLst>
        </xdr:cNvPr>
        <xdr:cNvSpPr txBox="1"/>
      </xdr:nvSpPr>
      <xdr:spPr>
        <a:xfrm>
          <a:off x="0" y="3498971"/>
          <a:ext cx="1725688" cy="30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bg2">
                  <a:lumMod val="10000"/>
                </a:schemeClr>
              </a:solidFill>
              <a:effectLst/>
              <a:latin typeface="+mn-lt"/>
              <a:ea typeface="+mn-ea"/>
              <a:cs typeface="+mn-cs"/>
            </a:rPr>
            <a:t>📅</a:t>
          </a:r>
          <a:r>
            <a:rPr lang="en-IN" sz="1400">
              <a:solidFill>
                <a:schemeClr val="bg2">
                  <a:lumMod val="10000"/>
                </a:schemeClr>
              </a:solidFill>
            </a:rPr>
            <a:t>  </a:t>
          </a:r>
          <a:r>
            <a:rPr lang="en-IN" sz="1400">
              <a:solidFill>
                <a:schemeClr val="bg1"/>
              </a:solidFill>
            </a:rPr>
            <a:t>Days</a:t>
          </a:r>
          <a:r>
            <a:rPr lang="en-IN" sz="1400" baseline="0">
              <a:solidFill>
                <a:schemeClr val="bg1"/>
              </a:solidFill>
            </a:rPr>
            <a:t> to Deliver</a:t>
          </a:r>
          <a:endParaRPr lang="en-IN" sz="1400">
            <a:solidFill>
              <a:schemeClr val="bg1"/>
            </a:solidFill>
          </a:endParaRPr>
        </a:p>
      </xdr:txBody>
    </xdr:sp>
    <xdr:clientData/>
  </xdr:twoCellAnchor>
  <xdr:twoCellAnchor>
    <xdr:from>
      <xdr:col>3</xdr:col>
      <xdr:colOff>0</xdr:colOff>
      <xdr:row>0</xdr:row>
      <xdr:rowOff>7559</xdr:rowOff>
    </xdr:from>
    <xdr:to>
      <xdr:col>10</xdr:col>
      <xdr:colOff>201295</xdr:colOff>
      <xdr:row>17</xdr:row>
      <xdr:rowOff>35499</xdr:rowOff>
    </xdr:to>
    <xdr:graphicFrame macro="">
      <xdr:nvGraphicFramePr>
        <xdr:cNvPr id="17" name="Chart 16">
          <a:extLst>
            <a:ext uri="{FF2B5EF4-FFF2-40B4-BE49-F238E27FC236}">
              <a16:creationId xmlns:a16="http://schemas.microsoft.com/office/drawing/2014/main" id="{6B075DEC-AFA3-4BA7-83EE-DF159CB9E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505982</xdr:colOff>
      <xdr:row>0</xdr:row>
      <xdr:rowOff>37354</xdr:rowOff>
    </xdr:from>
    <xdr:to>
      <xdr:col>25</xdr:col>
      <xdr:colOff>191434</xdr:colOff>
      <xdr:row>17</xdr:row>
      <xdr:rowOff>40753</xdr:rowOff>
    </xdr:to>
    <xdr:graphicFrame macro="">
      <xdr:nvGraphicFramePr>
        <xdr:cNvPr id="25" name="Chart 24">
          <a:extLst>
            <a:ext uri="{FF2B5EF4-FFF2-40B4-BE49-F238E27FC236}">
              <a16:creationId xmlns:a16="http://schemas.microsoft.com/office/drawing/2014/main" id="{A4C1B2D0-780C-400E-A204-BF5B6F224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264584</xdr:colOff>
      <xdr:row>17</xdr:row>
      <xdr:rowOff>51361</xdr:rowOff>
    </xdr:from>
    <xdr:to>
      <xdr:col>17</xdr:col>
      <xdr:colOff>443566</xdr:colOff>
      <xdr:row>42</xdr:row>
      <xdr:rowOff>144901</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6A6A05D8-D7D7-46C1-A08A-C8E736C5BE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143003" y="3146986"/>
              <a:ext cx="4460563" cy="4645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424497</xdr:colOff>
      <xdr:row>21</xdr:row>
      <xdr:rowOff>90169</xdr:rowOff>
    </xdr:from>
    <xdr:to>
      <xdr:col>17</xdr:col>
      <xdr:colOff>340043</xdr:colOff>
      <xdr:row>30</xdr:row>
      <xdr:rowOff>160020</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2DAC99FB-FA47-4378-A362-CECCF406EF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729027" y="3954779"/>
              <a:ext cx="1745616" cy="17284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476250</xdr:colOff>
      <xdr:row>17</xdr:row>
      <xdr:rowOff>47550</xdr:rowOff>
    </xdr:from>
    <xdr:to>
      <xdr:col>25</xdr:col>
      <xdr:colOff>194833</xdr:colOff>
      <xdr:row>30</xdr:row>
      <xdr:rowOff>45403</xdr:rowOff>
    </xdr:to>
    <xdr:graphicFrame macro="">
      <xdr:nvGraphicFramePr>
        <xdr:cNvPr id="36" name="Chart 35">
          <a:extLst>
            <a:ext uri="{FF2B5EF4-FFF2-40B4-BE49-F238E27FC236}">
              <a16:creationId xmlns:a16="http://schemas.microsoft.com/office/drawing/2014/main" id="{E8D0D789-BCD9-40C3-A948-861AEF8DC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465011</xdr:colOff>
      <xdr:row>30</xdr:row>
      <xdr:rowOff>72389</xdr:rowOff>
    </xdr:from>
    <xdr:to>
      <xdr:col>25</xdr:col>
      <xdr:colOff>191433</xdr:colOff>
      <xdr:row>42</xdr:row>
      <xdr:rowOff>140483</xdr:rowOff>
    </xdr:to>
    <xdr:graphicFrame macro="">
      <xdr:nvGraphicFramePr>
        <xdr:cNvPr id="37" name="Chart 36">
          <a:extLst>
            <a:ext uri="{FF2B5EF4-FFF2-40B4-BE49-F238E27FC236}">
              <a16:creationId xmlns:a16="http://schemas.microsoft.com/office/drawing/2014/main" id="{7FEDD02C-0493-4F1E-B99E-CCA8FA8C0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49349</xdr:colOff>
      <xdr:row>23</xdr:row>
      <xdr:rowOff>63501</xdr:rowOff>
    </xdr:from>
    <xdr:to>
      <xdr:col>2</xdr:col>
      <xdr:colOff>117203</xdr:colOff>
      <xdr:row>33</xdr:row>
      <xdr:rowOff>72390</xdr:rowOff>
    </xdr:to>
    <mc:AlternateContent xmlns:mc="http://schemas.openxmlformats.org/markup-compatibility/2006" xmlns:a14="http://schemas.microsoft.com/office/drawing/2010/main">
      <mc:Choice Requires="a14">
        <xdr:graphicFrame macro="">
          <xdr:nvGraphicFramePr>
            <xdr:cNvPr id="38" name="Order Mode">
              <a:extLst>
                <a:ext uri="{FF2B5EF4-FFF2-40B4-BE49-F238E27FC236}">
                  <a16:creationId xmlns:a16="http://schemas.microsoft.com/office/drawing/2014/main" id="{1F7C2239-7779-4701-B740-DE967C7D251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8079" y="4254240"/>
              <a:ext cx="1820043" cy="1827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43000</xdr:colOff>
      <xdr:row>34</xdr:row>
      <xdr:rowOff>11249</xdr:rowOff>
    </xdr:from>
    <xdr:to>
      <xdr:col>2</xdr:col>
      <xdr:colOff>113394</xdr:colOff>
      <xdr:row>42</xdr:row>
      <xdr:rowOff>73841</xdr:rowOff>
    </xdr:to>
    <mc:AlternateContent xmlns:mc="http://schemas.openxmlformats.org/markup-compatibility/2006" xmlns:a14="http://schemas.microsoft.com/office/drawing/2010/main">
      <mc:Choice Requires="a14">
        <xdr:graphicFrame macro="">
          <xdr:nvGraphicFramePr>
            <xdr:cNvPr id="39" name="Gender Value">
              <a:extLst>
                <a:ext uri="{FF2B5EF4-FFF2-40B4-BE49-F238E27FC236}">
                  <a16:creationId xmlns:a16="http://schemas.microsoft.com/office/drawing/2014/main" id="{00D93D70-23C9-4F92-B9C6-8F49B9694E3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41730" y="6201229"/>
              <a:ext cx="1822583" cy="1520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7561</xdr:colOff>
      <xdr:row>17</xdr:row>
      <xdr:rowOff>72577</xdr:rowOff>
    </xdr:from>
    <xdr:to>
      <xdr:col>10</xdr:col>
      <xdr:colOff>256226</xdr:colOff>
      <xdr:row>42</xdr:row>
      <xdr:rowOff>149411</xdr:rowOff>
    </xdr:to>
    <xdr:graphicFrame macro="">
      <xdr:nvGraphicFramePr>
        <xdr:cNvPr id="41" name="Chart 40">
          <a:extLst>
            <a:ext uri="{FF2B5EF4-FFF2-40B4-BE49-F238E27FC236}">
              <a16:creationId xmlns:a16="http://schemas.microsoft.com/office/drawing/2014/main" id="{80B53471-F0C3-4393-95C0-1801FFF73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247462</xdr:colOff>
      <xdr:row>29</xdr:row>
      <xdr:rowOff>158750</xdr:rowOff>
    </xdr:from>
    <xdr:to>
      <xdr:col>8</xdr:col>
      <xdr:colOff>235586</xdr:colOff>
      <xdr:row>40</xdr:row>
      <xdr:rowOff>89535</xdr:rowOff>
    </xdr:to>
    <xdr:graphicFrame macro="">
      <xdr:nvGraphicFramePr>
        <xdr:cNvPr id="32" name="Chart 31">
          <a:extLst>
            <a:ext uri="{FF2B5EF4-FFF2-40B4-BE49-F238E27FC236}">
              <a16:creationId xmlns:a16="http://schemas.microsoft.com/office/drawing/2014/main" id="{2CE3DB80-9BA4-4C4C-AD47-FE6BBC3BC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422493</xdr:colOff>
          <xdr:row>3</xdr:row>
          <xdr:rowOff>69244</xdr:rowOff>
        </xdr:from>
        <xdr:to>
          <xdr:col>17</xdr:col>
          <xdr:colOff>263374</xdr:colOff>
          <xdr:row>15</xdr:row>
          <xdr:rowOff>41546</xdr:rowOff>
        </xdr:to>
        <xdr:pic>
          <xdr:nvPicPr>
            <xdr:cNvPr id="43" name="Picture 42">
              <a:extLst>
                <a:ext uri="{FF2B5EF4-FFF2-40B4-BE49-F238E27FC236}">
                  <a16:creationId xmlns:a16="http://schemas.microsoft.com/office/drawing/2014/main" id="{1DDD6AC3-9F2C-CF81-4346-397E09B08BB2}"/>
                </a:ext>
              </a:extLst>
            </xdr:cNvPr>
            <xdr:cNvPicPr>
              <a:picLocks noChangeAspect="1" noChangeArrowheads="1"/>
              <a:extLst>
                <a:ext uri="{84589F7E-364E-4C9E-8A38-B11213B215E9}">
                  <a14:cameraTool cellRange="Pivots!$H$27:$L$32" spid="_x0000_s1072"/>
                </a:ext>
              </a:extLst>
            </xdr:cNvPicPr>
          </xdr:nvPicPr>
          <xdr:blipFill>
            <a:blip xmlns:r="http://schemas.openxmlformats.org/officeDocument/2006/relationships" r:embed="rId9"/>
            <a:srcRect/>
            <a:stretch>
              <a:fillRect/>
            </a:stretch>
          </xdr:blipFill>
          <xdr:spPr bwMode="auto">
            <a:xfrm>
              <a:off x="6303803" y="613530"/>
              <a:ext cx="4123321" cy="215833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0</xdr:rowOff>
    </xdr:from>
    <xdr:to>
      <xdr:col>2</xdr:col>
      <xdr:colOff>226316</xdr:colOff>
      <xdr:row>3</xdr:row>
      <xdr:rowOff>35378</xdr:rowOff>
    </xdr:to>
    <xdr:pic>
      <xdr:nvPicPr>
        <xdr:cNvPr id="44" name="Picture 43">
          <a:extLst>
            <a:ext uri="{FF2B5EF4-FFF2-40B4-BE49-F238E27FC236}">
              <a16:creationId xmlns:a16="http://schemas.microsoft.com/office/drawing/2014/main" id="{5371B601-30DE-49C2-A2F5-5295CD02166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0" y="0"/>
          <a:ext cx="1980126" cy="5669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1.772248958332" createdVersion="8" refreshedVersion="8" minRefreshableVersion="3" recordCount="2400" xr:uid="{A0F7C15A-BC70-4FF1-8C1A-62D5D0B18B21}">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493196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7174E7-8980-4179-8F99-FF39598E4964}"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5:B16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387F3-32D0-4DC2-B7FD-EBD37C51835E}"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5:G170"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 format="13" series="1">
      <pivotArea type="data" outline="0" fieldPosition="0">
        <references count="2">
          <reference field="4294967294" count="1" selected="0">
            <x v="0"/>
          </reference>
          <reference field="9" count="1" selected="0">
            <x v="0"/>
          </reference>
        </references>
      </pivotArea>
    </chartFormat>
    <chartFormat chart="2" format="14" series="1">
      <pivotArea type="data" outline="0" fieldPosition="0">
        <references count="2">
          <reference field="4294967294" count="1" selected="0">
            <x v="0"/>
          </reference>
          <reference field="9" count="1" selected="0">
            <x v="1"/>
          </reference>
        </references>
      </pivotArea>
    </chartFormat>
    <chartFormat chart="2" format="15" series="1">
      <pivotArea type="data" outline="0" fieldPosition="0">
        <references count="2">
          <reference field="4294967294" count="1" selected="0">
            <x v="0"/>
          </reference>
          <reference field="9" count="1" selected="0">
            <x v="2"/>
          </reference>
        </references>
      </pivotArea>
    </chartFormat>
    <chartFormat chart="2" format="16" series="1">
      <pivotArea type="data" outline="0" fieldPosition="0">
        <references count="2">
          <reference field="4294967294" count="1" selected="0">
            <x v="0"/>
          </reference>
          <reference field="9" count="1" selected="0">
            <x v="3"/>
          </reference>
        </references>
      </pivotArea>
    </chartFormat>
    <chartFormat chart="2"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D412CD-42D0-4CC7-8007-2B8D4B7783FD}"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40976-6909-4E3E-AE6C-FA08D4506019}" name="pvtMap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82:D140" firstHeaderRow="0" firstDataRow="1" firstDataCol="2"/>
  <pivotFields count="18">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5" outline="0" subtotalTop="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x="0"/>
        <item x="3"/>
        <item x="4"/>
        <item x="2"/>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ubtotalTop="0" showAll="0" defaultSubtotal="0">
      <items count="4">
        <item x="2"/>
        <item x="1"/>
        <item x="3"/>
        <item x="0"/>
      </items>
      <extLst>
        <ext xmlns:x14="http://schemas.microsoft.com/office/spreadsheetml/2009/9/main" uri="{2946ED86-A175-432a-8AC1-64E0C546D7DE}">
          <x14:pivotField fillDownLabels="1"/>
        </ext>
      </extLst>
    </pivotField>
    <pivotField compact="0" outline="0" subtotalTop="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F94C3F-5C60-4B0F-8FE1-9ED237EF73B7}"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numFmtId="38"/>
    <dataField name="Sum of Amount" fld="4"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C7474-5E71-4A34-B39A-7D114283D00F}"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6:F78"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4"/>
    </i>
    <i>
      <x v="4"/>
    </i>
    <i>
      <x v="12"/>
    </i>
    <i>
      <x v="11"/>
    </i>
    <i>
      <x v="5"/>
    </i>
    <i>
      <x v="2"/>
    </i>
    <i>
      <x v="8"/>
    </i>
    <i>
      <x v="9"/>
    </i>
    <i>
      <x v="3"/>
    </i>
    <i>
      <x v="19"/>
    </i>
    <i>
      <x v="10"/>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17" format="8" series="1">
      <pivotArea type="data" outline="0" fieldPosition="0">
        <references count="2">
          <reference field="4294967294" count="1" selected="0">
            <x v="0"/>
          </reference>
          <reference field="14" count="1" selected="0">
            <x v="0"/>
          </reference>
        </references>
      </pivotArea>
    </chartFormat>
    <chartFormat chart="17" format="9" series="1">
      <pivotArea type="data" outline="0" fieldPosition="0">
        <references count="2">
          <reference field="4294967294" count="1" selected="0">
            <x v="0"/>
          </reference>
          <reference field="14" count="1" selected="0">
            <x v="1"/>
          </reference>
        </references>
      </pivotArea>
    </chartFormat>
    <chartFormat chart="17" format="10" series="1">
      <pivotArea type="data" outline="0" fieldPosition="0">
        <references count="2">
          <reference field="4294967294" count="1" selected="0">
            <x v="0"/>
          </reference>
          <reference field="14" count="1" selected="0">
            <x v="2"/>
          </reference>
        </references>
      </pivotArea>
    </chartFormat>
    <chartFormat chart="17"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8C37BD-2B94-4917-9FDD-72D80C9C7B7C}"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B4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BADAC-7D71-4215-9486-3F43B85A7AD4}"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F33"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0">
    <format dxfId="14">
      <pivotArea type="all" dataOnly="0" outline="0" fieldPosition="0"/>
    </format>
    <format dxfId="13">
      <pivotArea outline="0" collapsedLevelsAreSubtotals="1" fieldPosition="0"/>
    </format>
    <format dxfId="12">
      <pivotArea type="origin" dataOnly="0" labelOnly="1" outline="0" fieldPosition="0"/>
    </format>
    <format dxfId="11">
      <pivotArea field="14" type="button" dataOnly="0" labelOnly="1" outline="0" axis="axisCol" fieldPosition="0"/>
    </format>
    <format dxfId="10">
      <pivotArea type="topRight" dataOnly="0" labelOnly="1" outline="0"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grandRow="1" outline="0" fieldPosition="0"/>
    </format>
    <format dxfId="6">
      <pivotArea dataOnly="0" labelOnly="1" fieldPosition="0">
        <references count="1">
          <reference field="14" count="0"/>
        </references>
      </pivotArea>
    </format>
    <format dxfId="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55457B-7FDE-4686-B860-B154A3B55B64}"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8:B53"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2"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4" count="1" selected="0">
            <x v="0"/>
          </reference>
        </references>
      </pivotArea>
    </chartFormat>
    <chartFormat chart="9" format="8">
      <pivotArea type="data" outline="0" fieldPosition="0">
        <references count="2">
          <reference field="4294967294" count="1" selected="0">
            <x v="0"/>
          </reference>
          <reference field="14" count="1" selected="0">
            <x v="1"/>
          </reference>
        </references>
      </pivotArea>
    </chartFormat>
    <chartFormat chart="9" format="9">
      <pivotArea type="data" outline="0" fieldPosition="0">
        <references count="2">
          <reference field="4294967294" count="1" selected="0">
            <x v="0"/>
          </reference>
          <reference field="14" count="1" selected="0">
            <x v="2"/>
          </reference>
        </references>
      </pivotArea>
    </chartFormat>
    <chartFormat chart="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3AD3AF3-BD51-47C5-B0A7-730D0FAA2F0F}" sourceName="Order Mode">
  <pivotTables>
    <pivotTable tabId="5" name="pvtRating"/>
    <pivotTable tabId="5" name="pvtDuration"/>
    <pivotTable tabId="5" name="pvtTrend"/>
    <pivotTable tabId="5" name="pvtMaps"/>
    <pivotTable tabId="5" name="pvtQty"/>
  </pivotTables>
  <data>
    <tabular pivotCacheId="149319621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8BDD437-4425-42B2-A0AB-E4903F67AD6C}" sourceName="Gender Value">
  <pivotTables>
    <pivotTable tabId="5" name="pvtRating"/>
    <pivotTable tabId="5" name="pvtDuration"/>
    <pivotTable tabId="5" name="pvtMaps"/>
    <pivotTable tabId="5" name="pvtQty"/>
    <pivotTable tabId="5" name="pvtTrend"/>
  </pivotTables>
  <data>
    <tabular pivotCacheId="149319621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83E9180-10AE-4D9C-8918-C71FEF084CFA}" cache="Slicer_Order_Mode" caption="Order Mode" rowHeight="247650"/>
  <slicer name="Gender Value" xr10:uid="{112CA962-5475-46D3-9E31-ADA7465D1125}"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215E99"/>
      </a:accent1>
      <a:accent2>
        <a:srgbClr val="FFC000"/>
      </a:accent2>
      <a:accent3>
        <a:srgbClr val="456955"/>
      </a:accent3>
      <a:accent4>
        <a:srgbClr val="4887E6"/>
      </a:accent4>
      <a:accent5>
        <a:srgbClr val="7030A0"/>
      </a:accent5>
      <a:accent6>
        <a:srgbClr val="92D050"/>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B8:AB13"/>
  <sheetViews>
    <sheetView tabSelected="1" zoomScale="136" zoomScaleNormal="70" workbookViewId="0">
      <selection activeCell="AB13" sqref="AB13"/>
    </sheetView>
  </sheetViews>
  <sheetFormatPr defaultRowHeight="14.4" x14ac:dyDescent="0.3"/>
  <cols>
    <col min="1" max="1" width="3.33203125" customWidth="1"/>
    <col min="2" max="2" width="22.21875" customWidth="1"/>
    <col min="3" max="4" width="3.33203125" customWidth="1"/>
    <col min="26" max="26" width="3.33203125" customWidth="1"/>
  </cols>
  <sheetData>
    <row r="8" spans="28:28" x14ac:dyDescent="0.3">
      <c r="AB8" s="26"/>
    </row>
    <row r="9" spans="28:28" x14ac:dyDescent="0.3">
      <c r="AB9" s="26"/>
    </row>
    <row r="10" spans="28:28" x14ac:dyDescent="0.3">
      <c r="AB10" s="26"/>
    </row>
    <row r="11" spans="28:28" x14ac:dyDescent="0.3">
      <c r="AB11" s="26"/>
    </row>
    <row r="12" spans="28:28" x14ac:dyDescent="0.3">
      <c r="AB12" s="26"/>
    </row>
    <row r="13" spans="28:28" x14ac:dyDescent="0.3">
      <c r="AB13" s="2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9A57-8F94-4782-AC25-79672E0651F7}">
  <dimension ref="A2:L170"/>
  <sheetViews>
    <sheetView workbookViewId="0">
      <selection activeCell="H27" sqref="H27:L32"/>
    </sheetView>
  </sheetViews>
  <sheetFormatPr defaultRowHeight="14.4" x14ac:dyDescent="0.3"/>
  <cols>
    <col min="1" max="1" width="40.33203125" bestFit="1" customWidth="1"/>
    <col min="2" max="2" width="20.21875" bestFit="1" customWidth="1"/>
    <col min="3" max="3" width="14.5546875" bestFit="1" customWidth="1"/>
    <col min="4" max="4" width="17.109375" bestFit="1" customWidth="1"/>
    <col min="5" max="5" width="22.77734375" bestFit="1" customWidth="1"/>
    <col min="6" max="6" width="18.77734375" bestFit="1" customWidth="1"/>
    <col min="7" max="7" width="20.21875" bestFit="1" customWidth="1"/>
    <col min="8" max="8" width="10.44140625" bestFit="1" customWidth="1"/>
    <col min="9" max="9" width="7.109375" bestFit="1" customWidth="1"/>
    <col min="10" max="10" width="19.21875" bestFit="1" customWidth="1"/>
    <col min="11" max="11" width="20.21875" bestFit="1" customWidth="1"/>
    <col min="12" max="32" width="9" bestFit="1" customWidth="1"/>
    <col min="33" max="89" width="9.44140625" bestFit="1" customWidth="1"/>
    <col min="90" max="90" width="10.5546875" bestFit="1" customWidth="1"/>
  </cols>
  <sheetData>
    <row r="2" spans="1:5" ht="21" x14ac:dyDescent="0.4">
      <c r="A2" s="18" t="s">
        <v>2557</v>
      </c>
    </row>
    <row r="3" spans="1:5" x14ac:dyDescent="0.3">
      <c r="A3" t="s">
        <v>2552</v>
      </c>
      <c r="B3" t="s">
        <v>2553</v>
      </c>
      <c r="C3" t="s">
        <v>2554</v>
      </c>
      <c r="D3" t="s">
        <v>2555</v>
      </c>
      <c r="E3" t="s">
        <v>2556</v>
      </c>
    </row>
    <row r="4" spans="1:5" x14ac:dyDescent="0.3">
      <c r="A4">
        <v>2400</v>
      </c>
      <c r="B4">
        <v>11997</v>
      </c>
      <c r="C4">
        <v>649019.80000000144</v>
      </c>
      <c r="D4">
        <v>3.9620833333333332</v>
      </c>
      <c r="E4">
        <v>2.3424999999999998</v>
      </c>
    </row>
    <row r="7" spans="1:5" ht="21" x14ac:dyDescent="0.4">
      <c r="A7" s="18" t="s">
        <v>2573</v>
      </c>
    </row>
    <row r="8" spans="1:5" x14ac:dyDescent="0.3">
      <c r="A8" s="13" t="s">
        <v>2558</v>
      </c>
      <c r="B8" t="s">
        <v>2553</v>
      </c>
      <c r="C8" t="s">
        <v>2554</v>
      </c>
    </row>
    <row r="9" spans="1:5" x14ac:dyDescent="0.3">
      <c r="A9" s="14">
        <v>1</v>
      </c>
      <c r="B9" s="15">
        <v>546</v>
      </c>
      <c r="C9">
        <v>32413.300000000003</v>
      </c>
    </row>
    <row r="10" spans="1:5" x14ac:dyDescent="0.3">
      <c r="A10" s="14">
        <v>2</v>
      </c>
      <c r="B10" s="15">
        <v>905</v>
      </c>
      <c r="C10">
        <v>49562.999999999993</v>
      </c>
    </row>
    <row r="11" spans="1:5" x14ac:dyDescent="0.3">
      <c r="A11" s="14">
        <v>3</v>
      </c>
      <c r="B11" s="15">
        <v>796</v>
      </c>
      <c r="C11">
        <v>41700.400000000016</v>
      </c>
    </row>
    <row r="12" spans="1:5" x14ac:dyDescent="0.3">
      <c r="A12" s="14">
        <v>4</v>
      </c>
      <c r="B12" s="15">
        <v>913</v>
      </c>
      <c r="C12">
        <v>46782.599999999984</v>
      </c>
    </row>
    <row r="13" spans="1:5" x14ac:dyDescent="0.3">
      <c r="A13" s="14">
        <v>5</v>
      </c>
      <c r="B13" s="15">
        <v>844</v>
      </c>
      <c r="C13">
        <v>42676.100000000006</v>
      </c>
    </row>
    <row r="14" spans="1:5" x14ac:dyDescent="0.3">
      <c r="A14" s="14">
        <v>6</v>
      </c>
      <c r="B14" s="15">
        <v>1202</v>
      </c>
      <c r="C14">
        <v>62910.7</v>
      </c>
    </row>
    <row r="15" spans="1:5" x14ac:dyDescent="0.3">
      <c r="A15" s="14">
        <v>7</v>
      </c>
      <c r="B15" s="15">
        <v>935</v>
      </c>
      <c r="C15">
        <v>50332.200000000004</v>
      </c>
    </row>
    <row r="16" spans="1:5" x14ac:dyDescent="0.3">
      <c r="A16" s="14">
        <v>8</v>
      </c>
      <c r="B16" s="15">
        <v>1128</v>
      </c>
      <c r="C16">
        <v>58760.599999999977</v>
      </c>
    </row>
    <row r="17" spans="1:12" x14ac:dyDescent="0.3">
      <c r="A17" s="14">
        <v>9</v>
      </c>
      <c r="B17" s="15">
        <v>1007</v>
      </c>
      <c r="C17">
        <v>52017.299999999996</v>
      </c>
    </row>
    <row r="18" spans="1:12" x14ac:dyDescent="0.3">
      <c r="A18" s="14">
        <v>10</v>
      </c>
      <c r="B18" s="15">
        <v>1128</v>
      </c>
      <c r="C18">
        <v>64915.700000000033</v>
      </c>
    </row>
    <row r="19" spans="1:12" x14ac:dyDescent="0.3">
      <c r="A19" s="14">
        <v>11</v>
      </c>
      <c r="B19" s="15">
        <v>861</v>
      </c>
      <c r="C19">
        <v>45943.80000000001</v>
      </c>
    </row>
    <row r="20" spans="1:12" x14ac:dyDescent="0.3">
      <c r="A20" s="14">
        <v>12</v>
      </c>
      <c r="B20" s="15">
        <v>944</v>
      </c>
      <c r="C20">
        <v>55077.900000000031</v>
      </c>
    </row>
    <row r="21" spans="1:12" x14ac:dyDescent="0.3">
      <c r="A21" s="14">
        <v>13</v>
      </c>
      <c r="B21" s="15">
        <v>788</v>
      </c>
      <c r="C21">
        <v>45926.19999999999</v>
      </c>
    </row>
    <row r="22" spans="1:12" x14ac:dyDescent="0.3">
      <c r="A22" s="14" t="s">
        <v>2559</v>
      </c>
      <c r="B22" s="15">
        <v>11997</v>
      </c>
      <c r="C22">
        <v>649019.79999999993</v>
      </c>
    </row>
    <row r="25" spans="1:12" ht="21" x14ac:dyDescent="0.4">
      <c r="A25" s="18" t="s">
        <v>2579</v>
      </c>
      <c r="H25" t="s">
        <v>2565</v>
      </c>
    </row>
    <row r="26" spans="1:12" x14ac:dyDescent="0.3">
      <c r="A26" s="21" t="s">
        <v>2554</v>
      </c>
      <c r="B26" s="21" t="s">
        <v>2560</v>
      </c>
      <c r="C26" s="22"/>
      <c r="D26" s="22"/>
      <c r="E26" s="22"/>
      <c r="F26" s="22"/>
    </row>
    <row r="27" spans="1:12" x14ac:dyDescent="0.3">
      <c r="A27" s="21" t="s">
        <v>2558</v>
      </c>
      <c r="B27" s="22" t="s">
        <v>2561</v>
      </c>
      <c r="C27" s="22" t="s">
        <v>2562</v>
      </c>
      <c r="D27" s="22" t="s">
        <v>2563</v>
      </c>
      <c r="E27" s="22" t="s">
        <v>2564</v>
      </c>
      <c r="F27" s="22" t="s">
        <v>2559</v>
      </c>
      <c r="I27" s="16" t="str">
        <f t="shared" ref="I27:L32" si="0">B27</f>
        <v>Female</v>
      </c>
      <c r="J27" s="16" t="str">
        <f t="shared" si="0"/>
        <v>Male</v>
      </c>
      <c r="K27" s="16" t="str">
        <f t="shared" si="0"/>
        <v>Other</v>
      </c>
      <c r="L27" s="16" t="str">
        <f t="shared" si="0"/>
        <v>Unknown</v>
      </c>
    </row>
    <row r="28" spans="1:12" x14ac:dyDescent="0.3">
      <c r="A28" s="23" t="s">
        <v>18</v>
      </c>
      <c r="B28" s="24">
        <v>0.18961825201634841</v>
      </c>
      <c r="C28" s="24">
        <v>0.12262322351336576</v>
      </c>
      <c r="D28" s="24">
        <v>1.060537752469185E-2</v>
      </c>
      <c r="E28" s="24">
        <v>3.0599220547662797E-2</v>
      </c>
      <c r="F28" s="24">
        <v>0.35344607360206881</v>
      </c>
      <c r="H28" s="16" t="str">
        <f>A28</f>
        <v>App</v>
      </c>
      <c r="I28" s="19">
        <f t="shared" si="0"/>
        <v>0.18961825201634841</v>
      </c>
      <c r="J28" s="19">
        <f t="shared" si="0"/>
        <v>0.12262322351336576</v>
      </c>
      <c r="K28" s="19">
        <f t="shared" si="0"/>
        <v>1.060537752469185E-2</v>
      </c>
      <c r="L28" s="19">
        <f t="shared" si="0"/>
        <v>3.0599220547662797E-2</v>
      </c>
    </row>
    <row r="29" spans="1:12" x14ac:dyDescent="0.3">
      <c r="A29" s="23" t="s">
        <v>51</v>
      </c>
      <c r="B29" s="24">
        <v>5.0283982091147303E-2</v>
      </c>
      <c r="C29" s="24">
        <v>4.3060781812819873E-2</v>
      </c>
      <c r="D29" s="24">
        <v>1.5320025675641944E-3</v>
      </c>
      <c r="E29" s="24">
        <v>1.7794988689097006E-2</v>
      </c>
      <c r="F29" s="24">
        <v>0.11267175516062837</v>
      </c>
      <c r="H29" s="16" t="str">
        <f>A29</f>
        <v>Instagram</v>
      </c>
      <c r="I29" s="19">
        <f t="shared" si="0"/>
        <v>5.0283982091147303E-2</v>
      </c>
      <c r="J29" s="19">
        <f t="shared" si="0"/>
        <v>4.3060781812819873E-2</v>
      </c>
      <c r="K29" s="19">
        <f t="shared" si="0"/>
        <v>1.5320025675641944E-3</v>
      </c>
      <c r="L29" s="19">
        <f t="shared" si="0"/>
        <v>1.7794988689097006E-2</v>
      </c>
    </row>
    <row r="30" spans="1:12" x14ac:dyDescent="0.3">
      <c r="A30" s="23" t="s">
        <v>70</v>
      </c>
      <c r="B30" s="24">
        <v>6.3496059750411282E-2</v>
      </c>
      <c r="C30" s="24">
        <v>4.6071629863988765E-2</v>
      </c>
      <c r="D30" s="24">
        <v>2.306247051322625E-3</v>
      </c>
      <c r="E30" s="24">
        <v>3.8927934093844286E-3</v>
      </c>
      <c r="F30" s="24">
        <v>0.11576673007510711</v>
      </c>
      <c r="H30" s="16" t="str">
        <f>A30</f>
        <v>Partner App</v>
      </c>
      <c r="I30" s="19">
        <f t="shared" si="0"/>
        <v>6.3496059750411282E-2</v>
      </c>
      <c r="J30" s="19">
        <f t="shared" si="0"/>
        <v>4.6071629863988765E-2</v>
      </c>
      <c r="K30" s="19">
        <f t="shared" si="0"/>
        <v>2.306247051322625E-3</v>
      </c>
      <c r="L30" s="19">
        <f t="shared" si="0"/>
        <v>3.8927934093844286E-3</v>
      </c>
    </row>
    <row r="31" spans="1:12" x14ac:dyDescent="0.3">
      <c r="A31" s="23" t="s">
        <v>40</v>
      </c>
      <c r="B31" s="24">
        <v>9.6337892927149532E-2</v>
      </c>
      <c r="C31" s="24">
        <v>6.7920115842382611E-2</v>
      </c>
      <c r="D31" s="24">
        <v>5.4979832664581261E-3</v>
      </c>
      <c r="E31" s="24">
        <v>1.2933041488102518E-2</v>
      </c>
      <c r="F31" s="24">
        <v>0.1826890335240928</v>
      </c>
      <c r="H31" s="16" t="str">
        <f>A31</f>
        <v>Target.com</v>
      </c>
      <c r="I31" s="19">
        <f t="shared" si="0"/>
        <v>9.6337892927149532E-2</v>
      </c>
      <c r="J31" s="19">
        <f t="shared" si="0"/>
        <v>6.7920115842382611E-2</v>
      </c>
      <c r="K31" s="19">
        <f t="shared" si="0"/>
        <v>5.4979832664581261E-3</v>
      </c>
      <c r="L31" s="19">
        <f t="shared" si="0"/>
        <v>1.2933041488102518E-2</v>
      </c>
    </row>
    <row r="32" spans="1:12" x14ac:dyDescent="0.3">
      <c r="A32" s="23" t="s">
        <v>35</v>
      </c>
      <c r="B32" s="24">
        <v>0.12522098709469262</v>
      </c>
      <c r="C32" s="24">
        <v>9.1492740283116228E-2</v>
      </c>
      <c r="D32" s="24">
        <v>6.3042760790965081E-3</v>
      </c>
      <c r="E32" s="24">
        <v>1.2408404181197551E-2</v>
      </c>
      <c r="F32" s="24">
        <v>0.23542640763810288</v>
      </c>
      <c r="H32" s="16" t="str">
        <f>A32</f>
        <v>Website</v>
      </c>
      <c r="I32" s="19">
        <f t="shared" si="0"/>
        <v>0.12522098709469262</v>
      </c>
      <c r="J32" s="19">
        <f t="shared" si="0"/>
        <v>9.1492740283116228E-2</v>
      </c>
      <c r="K32" s="19">
        <f t="shared" si="0"/>
        <v>6.3042760790965081E-3</v>
      </c>
      <c r="L32" s="19">
        <f t="shared" si="0"/>
        <v>1.2408404181197551E-2</v>
      </c>
    </row>
    <row r="33" spans="1:6" x14ac:dyDescent="0.3">
      <c r="A33" s="23" t="s">
        <v>2559</v>
      </c>
      <c r="B33" s="24">
        <v>0.52495717387974916</v>
      </c>
      <c r="C33" s="24">
        <v>0.3711684913156732</v>
      </c>
      <c r="D33" s="24">
        <v>2.6245886489133303E-2</v>
      </c>
      <c r="E33" s="24">
        <v>7.7628448315444312E-2</v>
      </c>
      <c r="F33" s="24">
        <v>1</v>
      </c>
    </row>
    <row r="35" spans="1:6" ht="21" x14ac:dyDescent="0.4">
      <c r="A35" s="20" t="s">
        <v>2574</v>
      </c>
    </row>
    <row r="36" spans="1:6" x14ac:dyDescent="0.3">
      <c r="A36" s="13" t="s">
        <v>2558</v>
      </c>
      <c r="B36" t="s">
        <v>2552</v>
      </c>
    </row>
    <row r="37" spans="1:6" x14ac:dyDescent="0.3">
      <c r="A37" s="14">
        <v>1</v>
      </c>
      <c r="B37">
        <v>397</v>
      </c>
    </row>
    <row r="38" spans="1:6" x14ac:dyDescent="0.3">
      <c r="A38" s="14">
        <v>2</v>
      </c>
      <c r="B38">
        <v>540</v>
      </c>
    </row>
    <row r="39" spans="1:6" x14ac:dyDescent="0.3">
      <c r="A39" s="14">
        <v>3</v>
      </c>
      <c r="B39">
        <v>375</v>
      </c>
    </row>
    <row r="40" spans="1:6" x14ac:dyDescent="0.3">
      <c r="A40" s="14">
        <v>4</v>
      </c>
      <c r="B40">
        <v>246</v>
      </c>
    </row>
    <row r="41" spans="1:6" x14ac:dyDescent="0.3">
      <c r="A41" s="14">
        <v>5</v>
      </c>
      <c r="B41">
        <v>195</v>
      </c>
    </row>
    <row r="42" spans="1:6" x14ac:dyDescent="0.3">
      <c r="A42" s="14" t="s">
        <v>2566</v>
      </c>
      <c r="B42">
        <v>414</v>
      </c>
    </row>
    <row r="43" spans="1:6" x14ac:dyDescent="0.3">
      <c r="A43" s="14" t="s">
        <v>2567</v>
      </c>
      <c r="B43">
        <v>233</v>
      </c>
    </row>
    <row r="44" spans="1:6" x14ac:dyDescent="0.3">
      <c r="A44" s="14" t="s">
        <v>2559</v>
      </c>
      <c r="B44">
        <v>2400</v>
      </c>
    </row>
    <row r="47" spans="1:6" ht="21" x14ac:dyDescent="0.4">
      <c r="A47" s="18" t="s">
        <v>2576</v>
      </c>
    </row>
    <row r="48" spans="1:6" x14ac:dyDescent="0.3">
      <c r="A48" s="13" t="s">
        <v>2558</v>
      </c>
      <c r="B48" t="s">
        <v>2553</v>
      </c>
    </row>
    <row r="49" spans="1:6" x14ac:dyDescent="0.3">
      <c r="A49" s="14" t="s">
        <v>2561</v>
      </c>
      <c r="B49">
        <v>6272</v>
      </c>
    </row>
    <row r="50" spans="1:6" x14ac:dyDescent="0.3">
      <c r="A50" s="14" t="s">
        <v>2562</v>
      </c>
      <c r="B50">
        <v>4672</v>
      </c>
    </row>
    <row r="51" spans="1:6" x14ac:dyDescent="0.3">
      <c r="A51" s="14" t="s">
        <v>2563</v>
      </c>
      <c r="B51">
        <v>317</v>
      </c>
    </row>
    <row r="52" spans="1:6" x14ac:dyDescent="0.3">
      <c r="A52" s="14" t="s">
        <v>2564</v>
      </c>
      <c r="B52">
        <v>736</v>
      </c>
    </row>
    <row r="53" spans="1:6" x14ac:dyDescent="0.3">
      <c r="A53" s="14" t="s">
        <v>2559</v>
      </c>
      <c r="B53">
        <v>11997</v>
      </c>
    </row>
    <row r="55" spans="1:6" ht="21" x14ac:dyDescent="0.4">
      <c r="A55" s="20" t="s">
        <v>2575</v>
      </c>
    </row>
    <row r="56" spans="1:6" x14ac:dyDescent="0.3">
      <c r="A56" s="13" t="s">
        <v>2553</v>
      </c>
      <c r="B56" s="13" t="s">
        <v>2560</v>
      </c>
    </row>
    <row r="57" spans="1:6" x14ac:dyDescent="0.3">
      <c r="A57" s="13" t="s">
        <v>2558</v>
      </c>
      <c r="B57" t="s">
        <v>2561</v>
      </c>
      <c r="C57" t="s">
        <v>2562</v>
      </c>
      <c r="D57" t="s">
        <v>2563</v>
      </c>
      <c r="E57" t="s">
        <v>2564</v>
      </c>
      <c r="F57" t="s">
        <v>2559</v>
      </c>
    </row>
    <row r="58" spans="1:6" x14ac:dyDescent="0.3">
      <c r="A58" s="14" t="s">
        <v>44</v>
      </c>
      <c r="B58">
        <v>744</v>
      </c>
      <c r="C58">
        <v>713</v>
      </c>
      <c r="D58">
        <v>90</v>
      </c>
      <c r="E58">
        <v>98</v>
      </c>
      <c r="F58">
        <v>1645</v>
      </c>
    </row>
    <row r="59" spans="1:6" x14ac:dyDescent="0.3">
      <c r="A59" s="14" t="s">
        <v>39</v>
      </c>
      <c r="B59">
        <v>716</v>
      </c>
      <c r="C59">
        <v>598</v>
      </c>
      <c r="D59">
        <v>18</v>
      </c>
      <c r="E59">
        <v>214</v>
      </c>
      <c r="F59">
        <v>1546</v>
      </c>
    </row>
    <row r="60" spans="1:6" x14ac:dyDescent="0.3">
      <c r="A60" s="14" t="s">
        <v>26</v>
      </c>
      <c r="B60">
        <v>627</v>
      </c>
      <c r="C60">
        <v>393</v>
      </c>
      <c r="D60">
        <v>29</v>
      </c>
      <c r="E60">
        <v>137</v>
      </c>
      <c r="F60">
        <v>1186</v>
      </c>
    </row>
    <row r="61" spans="1:6" x14ac:dyDescent="0.3">
      <c r="A61" s="14" t="s">
        <v>22</v>
      </c>
      <c r="B61">
        <v>568</v>
      </c>
      <c r="C61">
        <v>306</v>
      </c>
      <c r="D61">
        <v>22</v>
      </c>
      <c r="E61">
        <v>16</v>
      </c>
      <c r="F61">
        <v>912</v>
      </c>
    </row>
    <row r="62" spans="1:6" x14ac:dyDescent="0.3">
      <c r="A62" s="14" t="s">
        <v>54</v>
      </c>
      <c r="B62">
        <v>482</v>
      </c>
      <c r="C62">
        <v>295</v>
      </c>
      <c r="D62">
        <v>8</v>
      </c>
      <c r="E62">
        <v>22</v>
      </c>
      <c r="F62">
        <v>807</v>
      </c>
    </row>
    <row r="63" spans="1:6" x14ac:dyDescent="0.3">
      <c r="A63" s="14" t="s">
        <v>46</v>
      </c>
      <c r="B63">
        <v>445</v>
      </c>
      <c r="C63">
        <v>202</v>
      </c>
      <c r="D63">
        <v>14</v>
      </c>
      <c r="E63">
        <v>39</v>
      </c>
      <c r="F63">
        <v>700</v>
      </c>
    </row>
    <row r="64" spans="1:6" x14ac:dyDescent="0.3">
      <c r="A64" s="14" t="s">
        <v>32</v>
      </c>
      <c r="B64">
        <v>431</v>
      </c>
      <c r="C64">
        <v>187</v>
      </c>
      <c r="D64">
        <v>14</v>
      </c>
      <c r="E64">
        <v>15</v>
      </c>
      <c r="F64">
        <v>647</v>
      </c>
    </row>
    <row r="65" spans="1:6" x14ac:dyDescent="0.3">
      <c r="A65" s="14" t="s">
        <v>16</v>
      </c>
      <c r="B65">
        <v>428</v>
      </c>
      <c r="C65">
        <v>293</v>
      </c>
      <c r="E65">
        <v>24</v>
      </c>
      <c r="F65">
        <v>745</v>
      </c>
    </row>
    <row r="66" spans="1:6" x14ac:dyDescent="0.3">
      <c r="A66" s="14" t="s">
        <v>37</v>
      </c>
      <c r="B66">
        <v>296</v>
      </c>
      <c r="C66">
        <v>275</v>
      </c>
      <c r="D66">
        <v>9</v>
      </c>
      <c r="E66">
        <v>23</v>
      </c>
      <c r="F66">
        <v>603</v>
      </c>
    </row>
    <row r="67" spans="1:6" x14ac:dyDescent="0.3">
      <c r="A67" s="14" t="s">
        <v>42</v>
      </c>
      <c r="B67">
        <v>264</v>
      </c>
      <c r="C67">
        <v>318</v>
      </c>
      <c r="D67">
        <v>15</v>
      </c>
      <c r="E67">
        <v>9</v>
      </c>
      <c r="F67">
        <v>606</v>
      </c>
    </row>
    <row r="68" spans="1:6" x14ac:dyDescent="0.3">
      <c r="A68" s="14" t="s">
        <v>69</v>
      </c>
      <c r="B68">
        <v>234</v>
      </c>
      <c r="C68">
        <v>93</v>
      </c>
      <c r="D68">
        <v>19</v>
      </c>
      <c r="E68">
        <v>24</v>
      </c>
      <c r="F68">
        <v>370</v>
      </c>
    </row>
    <row r="69" spans="1:6" x14ac:dyDescent="0.3">
      <c r="A69" s="14" t="s">
        <v>146</v>
      </c>
      <c r="B69">
        <v>189</v>
      </c>
      <c r="C69">
        <v>168</v>
      </c>
      <c r="D69">
        <v>10</v>
      </c>
      <c r="E69">
        <v>31</v>
      </c>
      <c r="F69">
        <v>398</v>
      </c>
    </row>
    <row r="70" spans="1:6" x14ac:dyDescent="0.3">
      <c r="A70" s="14" t="s">
        <v>67</v>
      </c>
      <c r="B70">
        <v>179</v>
      </c>
      <c r="C70">
        <v>76</v>
      </c>
      <c r="D70">
        <v>3</v>
      </c>
      <c r="F70">
        <v>258</v>
      </c>
    </row>
    <row r="71" spans="1:6" x14ac:dyDescent="0.3">
      <c r="A71" s="14" t="s">
        <v>123</v>
      </c>
      <c r="B71">
        <v>153</v>
      </c>
      <c r="C71">
        <v>246</v>
      </c>
      <c r="D71">
        <v>30</v>
      </c>
      <c r="E71">
        <v>8</v>
      </c>
      <c r="F71">
        <v>437</v>
      </c>
    </row>
    <row r="72" spans="1:6" x14ac:dyDescent="0.3">
      <c r="A72" s="14" t="s">
        <v>30</v>
      </c>
      <c r="B72">
        <v>146</v>
      </c>
      <c r="C72">
        <v>94</v>
      </c>
      <c r="D72">
        <v>4</v>
      </c>
      <c r="E72">
        <v>28</v>
      </c>
      <c r="F72">
        <v>272</v>
      </c>
    </row>
    <row r="73" spans="1:6" x14ac:dyDescent="0.3">
      <c r="A73" s="14" t="s">
        <v>135</v>
      </c>
      <c r="B73">
        <v>127</v>
      </c>
      <c r="C73">
        <v>118</v>
      </c>
      <c r="D73">
        <v>13</v>
      </c>
      <c r="E73">
        <v>12</v>
      </c>
      <c r="F73">
        <v>270</v>
      </c>
    </row>
    <row r="74" spans="1:6" x14ac:dyDescent="0.3">
      <c r="A74" s="14" t="s">
        <v>128</v>
      </c>
      <c r="B74">
        <v>99</v>
      </c>
      <c r="C74">
        <v>69</v>
      </c>
      <c r="D74">
        <v>3</v>
      </c>
      <c r="E74">
        <v>24</v>
      </c>
      <c r="F74">
        <v>195</v>
      </c>
    </row>
    <row r="75" spans="1:6" x14ac:dyDescent="0.3">
      <c r="A75" s="14" t="s">
        <v>76</v>
      </c>
      <c r="B75">
        <v>75</v>
      </c>
      <c r="C75">
        <v>103</v>
      </c>
      <c r="D75">
        <v>4</v>
      </c>
      <c r="E75">
        <v>6</v>
      </c>
      <c r="F75">
        <v>188</v>
      </c>
    </row>
    <row r="76" spans="1:6" x14ac:dyDescent="0.3">
      <c r="A76" s="14" t="s">
        <v>81</v>
      </c>
      <c r="B76">
        <v>43</v>
      </c>
      <c r="C76">
        <v>90</v>
      </c>
      <c r="D76">
        <v>8</v>
      </c>
      <c r="E76">
        <v>6</v>
      </c>
      <c r="F76">
        <v>147</v>
      </c>
    </row>
    <row r="77" spans="1:6" x14ac:dyDescent="0.3">
      <c r="A77" s="14" t="s">
        <v>171</v>
      </c>
      <c r="B77">
        <v>26</v>
      </c>
      <c r="C77">
        <v>35</v>
      </c>
      <c r="D77">
        <v>4</v>
      </c>
      <c r="F77">
        <v>65</v>
      </c>
    </row>
    <row r="78" spans="1:6" x14ac:dyDescent="0.3">
      <c r="A78" s="14" t="s">
        <v>2559</v>
      </c>
      <c r="B78">
        <v>6272</v>
      </c>
      <c r="C78">
        <v>4672</v>
      </c>
      <c r="D78">
        <v>317</v>
      </c>
      <c r="E78">
        <v>736</v>
      </c>
      <c r="F78">
        <v>11997</v>
      </c>
    </row>
    <row r="79" spans="1:6" x14ac:dyDescent="0.3">
      <c r="A79" s="14"/>
    </row>
    <row r="81" spans="1:12" ht="21" x14ac:dyDescent="0.4">
      <c r="A81" s="20" t="s">
        <v>2577</v>
      </c>
      <c r="F81" t="s">
        <v>2568</v>
      </c>
      <c r="J81" t="s">
        <v>2569</v>
      </c>
    </row>
    <row r="82" spans="1:12" x14ac:dyDescent="0.3">
      <c r="A82" s="13" t="s">
        <v>10</v>
      </c>
      <c r="B82" s="13" t="s">
        <v>11</v>
      </c>
      <c r="C82" t="s">
        <v>2553</v>
      </c>
      <c r="D82" t="s">
        <v>2554</v>
      </c>
      <c r="F82" s="12" t="s">
        <v>10</v>
      </c>
      <c r="G82" s="12" t="s">
        <v>11</v>
      </c>
      <c r="H82" s="12" t="s">
        <v>2</v>
      </c>
      <c r="J82" s="12" t="s">
        <v>10</v>
      </c>
      <c r="K82" s="12" t="s">
        <v>11</v>
      </c>
      <c r="L82" s="12" t="s">
        <v>4</v>
      </c>
    </row>
    <row r="83" spans="1:12" x14ac:dyDescent="0.3">
      <c r="A83" t="s">
        <v>19</v>
      </c>
      <c r="B83" t="s">
        <v>115</v>
      </c>
      <c r="C83">
        <v>579</v>
      </c>
      <c r="D83">
        <v>31884.999999999996</v>
      </c>
      <c r="F83" s="17" t="str">
        <f>IF(A83="","",A83)</f>
        <v>California</v>
      </c>
      <c r="G83" t="s">
        <v>115</v>
      </c>
      <c r="H83">
        <v>579</v>
      </c>
      <c r="J83" s="17" t="str">
        <f>IF(A83="","",A83)</f>
        <v>California</v>
      </c>
      <c r="K83" t="s">
        <v>115</v>
      </c>
      <c r="L83">
        <v>31884.999999999996</v>
      </c>
    </row>
    <row r="84" spans="1:12" x14ac:dyDescent="0.3">
      <c r="A84" t="s">
        <v>19</v>
      </c>
      <c r="B84" t="s">
        <v>20</v>
      </c>
      <c r="C84">
        <v>1</v>
      </c>
      <c r="D84">
        <v>10.9</v>
      </c>
      <c r="F84" s="17" t="str">
        <f t="shared" ref="F84:F140" si="1">IF(A84="","",A84)</f>
        <v>California</v>
      </c>
      <c r="G84" t="s">
        <v>20</v>
      </c>
      <c r="H84">
        <v>1</v>
      </c>
      <c r="J84" s="17" t="str">
        <f t="shared" ref="J84:J140" si="2">IF(A84="","",A84)</f>
        <v>California</v>
      </c>
      <c r="K84" t="s">
        <v>20</v>
      </c>
      <c r="L84">
        <v>10.9</v>
      </c>
    </row>
    <row r="85" spans="1:12" x14ac:dyDescent="0.3">
      <c r="A85" t="s">
        <v>19</v>
      </c>
      <c r="B85" t="s">
        <v>641</v>
      </c>
      <c r="C85">
        <v>9</v>
      </c>
      <c r="D85">
        <v>800.3</v>
      </c>
      <c r="F85" s="17" t="str">
        <f t="shared" si="1"/>
        <v>California</v>
      </c>
      <c r="G85" t="s">
        <v>641</v>
      </c>
      <c r="H85">
        <v>9</v>
      </c>
      <c r="J85" s="17" t="str">
        <f t="shared" si="2"/>
        <v>California</v>
      </c>
      <c r="K85" t="s">
        <v>641</v>
      </c>
      <c r="L85">
        <v>800.3</v>
      </c>
    </row>
    <row r="86" spans="1:12" x14ac:dyDescent="0.3">
      <c r="A86" t="s">
        <v>19</v>
      </c>
      <c r="B86" t="s">
        <v>967</v>
      </c>
      <c r="C86">
        <v>35</v>
      </c>
      <c r="D86">
        <v>1062.5999999999999</v>
      </c>
      <c r="F86" s="17" t="str">
        <f t="shared" si="1"/>
        <v>California</v>
      </c>
      <c r="G86" t="s">
        <v>967</v>
      </c>
      <c r="H86">
        <v>35</v>
      </c>
      <c r="J86" s="17" t="str">
        <f t="shared" si="2"/>
        <v>California</v>
      </c>
      <c r="K86" t="s">
        <v>967</v>
      </c>
      <c r="L86">
        <v>1062.5999999999999</v>
      </c>
    </row>
    <row r="87" spans="1:12" x14ac:dyDescent="0.3">
      <c r="A87" t="s">
        <v>19</v>
      </c>
      <c r="B87" t="s">
        <v>84</v>
      </c>
      <c r="C87">
        <v>12</v>
      </c>
      <c r="D87">
        <v>326.20000000000005</v>
      </c>
      <c r="F87" s="17" t="str">
        <f t="shared" si="1"/>
        <v>California</v>
      </c>
      <c r="G87" t="s">
        <v>84</v>
      </c>
      <c r="H87">
        <v>12</v>
      </c>
      <c r="J87" s="17" t="str">
        <f t="shared" si="2"/>
        <v>California</v>
      </c>
      <c r="K87" t="s">
        <v>84</v>
      </c>
      <c r="L87">
        <v>326.20000000000005</v>
      </c>
    </row>
    <row r="88" spans="1:12" x14ac:dyDescent="0.3">
      <c r="A88" t="s">
        <v>19</v>
      </c>
      <c r="B88" t="s">
        <v>1383</v>
      </c>
      <c r="C88">
        <v>4</v>
      </c>
      <c r="D88">
        <v>167.5</v>
      </c>
      <c r="F88" s="17" t="str">
        <f t="shared" si="1"/>
        <v>California</v>
      </c>
      <c r="G88" t="s">
        <v>1383</v>
      </c>
      <c r="H88">
        <v>4</v>
      </c>
      <c r="J88" s="17" t="str">
        <f t="shared" si="2"/>
        <v>California</v>
      </c>
      <c r="K88" t="s">
        <v>1383</v>
      </c>
      <c r="L88">
        <v>167.5</v>
      </c>
    </row>
    <row r="89" spans="1:12" x14ac:dyDescent="0.3">
      <c r="A89" t="s">
        <v>19</v>
      </c>
      <c r="B89" t="s">
        <v>24</v>
      </c>
      <c r="C89">
        <v>341</v>
      </c>
      <c r="D89">
        <v>16168.7</v>
      </c>
      <c r="F89" s="17" t="str">
        <f t="shared" si="1"/>
        <v>California</v>
      </c>
      <c r="G89" t="s">
        <v>24</v>
      </c>
      <c r="H89">
        <v>341</v>
      </c>
      <c r="J89" s="17" t="str">
        <f t="shared" si="2"/>
        <v>California</v>
      </c>
      <c r="K89" t="s">
        <v>24</v>
      </c>
      <c r="L89">
        <v>16168.7</v>
      </c>
    </row>
    <row r="90" spans="1:12" x14ac:dyDescent="0.3">
      <c r="A90" t="s">
        <v>19</v>
      </c>
      <c r="B90" t="s">
        <v>2204</v>
      </c>
      <c r="C90">
        <v>13</v>
      </c>
      <c r="D90">
        <v>322.40000000000003</v>
      </c>
      <c r="F90" s="17" t="str">
        <f t="shared" si="1"/>
        <v>California</v>
      </c>
      <c r="G90" t="s">
        <v>2204</v>
      </c>
      <c r="H90">
        <v>13</v>
      </c>
      <c r="J90" s="17" t="str">
        <f t="shared" si="2"/>
        <v>California</v>
      </c>
      <c r="K90" t="s">
        <v>2204</v>
      </c>
      <c r="L90">
        <v>322.40000000000003</v>
      </c>
    </row>
    <row r="91" spans="1:12" x14ac:dyDescent="0.3">
      <c r="A91" t="s">
        <v>19</v>
      </c>
      <c r="B91" t="s">
        <v>437</v>
      </c>
      <c r="C91">
        <v>31</v>
      </c>
      <c r="D91">
        <v>2092.8000000000002</v>
      </c>
      <c r="F91" s="17" t="str">
        <f t="shared" si="1"/>
        <v>California</v>
      </c>
      <c r="G91" t="s">
        <v>437</v>
      </c>
      <c r="H91">
        <v>31</v>
      </c>
      <c r="J91" s="17" t="str">
        <f t="shared" si="2"/>
        <v>California</v>
      </c>
      <c r="K91" t="s">
        <v>437</v>
      </c>
      <c r="L91">
        <v>2092.8000000000002</v>
      </c>
    </row>
    <row r="92" spans="1:12" x14ac:dyDescent="0.3">
      <c r="A92" t="s">
        <v>19</v>
      </c>
      <c r="B92" t="s">
        <v>28</v>
      </c>
      <c r="C92">
        <v>279</v>
      </c>
      <c r="D92">
        <v>12662.500000000002</v>
      </c>
      <c r="F92" s="17" t="str">
        <f t="shared" si="1"/>
        <v>California</v>
      </c>
      <c r="G92" t="s">
        <v>28</v>
      </c>
      <c r="H92">
        <v>279</v>
      </c>
      <c r="J92" s="17" t="str">
        <f t="shared" si="2"/>
        <v>California</v>
      </c>
      <c r="K92" t="s">
        <v>28</v>
      </c>
      <c r="L92">
        <v>12662.500000000002</v>
      </c>
    </row>
    <row r="93" spans="1:12" x14ac:dyDescent="0.3">
      <c r="A93" t="s">
        <v>19</v>
      </c>
      <c r="B93" t="s">
        <v>208</v>
      </c>
      <c r="C93">
        <v>9</v>
      </c>
      <c r="D93">
        <v>343.2</v>
      </c>
      <c r="F93" s="17" t="str">
        <f t="shared" si="1"/>
        <v>California</v>
      </c>
      <c r="G93" t="s">
        <v>208</v>
      </c>
      <c r="H93">
        <v>9</v>
      </c>
      <c r="J93" s="17" t="str">
        <f t="shared" si="2"/>
        <v>California</v>
      </c>
      <c r="K93" t="s">
        <v>208</v>
      </c>
      <c r="L93">
        <v>343.2</v>
      </c>
    </row>
    <row r="94" spans="1:12" x14ac:dyDescent="0.3">
      <c r="A94" t="s">
        <v>19</v>
      </c>
      <c r="B94" t="s">
        <v>587</v>
      </c>
      <c r="C94">
        <v>49</v>
      </c>
      <c r="D94">
        <v>2188.2999999999997</v>
      </c>
      <c r="F94" s="17" t="str">
        <f t="shared" si="1"/>
        <v>California</v>
      </c>
      <c r="G94" t="s">
        <v>587</v>
      </c>
      <c r="H94">
        <v>49</v>
      </c>
      <c r="J94" s="17" t="str">
        <f t="shared" si="2"/>
        <v>California</v>
      </c>
      <c r="K94" t="s">
        <v>587</v>
      </c>
      <c r="L94">
        <v>2188.2999999999997</v>
      </c>
    </row>
    <row r="95" spans="1:12" x14ac:dyDescent="0.3">
      <c r="A95" t="s">
        <v>19</v>
      </c>
      <c r="B95" t="s">
        <v>331</v>
      </c>
      <c r="C95">
        <v>59</v>
      </c>
      <c r="D95">
        <v>2661.5999999999995</v>
      </c>
      <c r="F95" s="17" t="str">
        <f t="shared" si="1"/>
        <v>California</v>
      </c>
      <c r="G95" t="s">
        <v>331</v>
      </c>
      <c r="H95">
        <v>59</v>
      </c>
      <c r="J95" s="17" t="str">
        <f t="shared" si="2"/>
        <v>California</v>
      </c>
      <c r="K95" t="s">
        <v>331</v>
      </c>
      <c r="L95">
        <v>2661.5999999999995</v>
      </c>
    </row>
    <row r="96" spans="1:12" x14ac:dyDescent="0.3">
      <c r="A96" t="s">
        <v>19</v>
      </c>
      <c r="B96" t="s">
        <v>86</v>
      </c>
      <c r="C96">
        <v>8</v>
      </c>
      <c r="D96">
        <v>887.5</v>
      </c>
      <c r="F96" s="17" t="str">
        <f t="shared" si="1"/>
        <v>California</v>
      </c>
      <c r="G96" t="s">
        <v>86</v>
      </c>
      <c r="H96">
        <v>8</v>
      </c>
      <c r="J96" s="17" t="str">
        <f t="shared" si="2"/>
        <v>California</v>
      </c>
      <c r="K96" t="s">
        <v>86</v>
      </c>
      <c r="L96">
        <v>887.5</v>
      </c>
    </row>
    <row r="97" spans="1:12" x14ac:dyDescent="0.3">
      <c r="A97" t="s">
        <v>19</v>
      </c>
      <c r="B97" t="s">
        <v>147</v>
      </c>
      <c r="C97">
        <v>222</v>
      </c>
      <c r="D97">
        <v>11354.199999999993</v>
      </c>
      <c r="F97" s="17" t="str">
        <f t="shared" si="1"/>
        <v>California</v>
      </c>
      <c r="G97" t="s">
        <v>147</v>
      </c>
      <c r="H97">
        <v>222</v>
      </c>
      <c r="J97" s="17" t="str">
        <f t="shared" si="2"/>
        <v>California</v>
      </c>
      <c r="K97" t="s">
        <v>147</v>
      </c>
      <c r="L97">
        <v>11354.199999999993</v>
      </c>
    </row>
    <row r="98" spans="1:12" x14ac:dyDescent="0.3">
      <c r="A98" t="s">
        <v>19</v>
      </c>
      <c r="B98" t="s">
        <v>334</v>
      </c>
      <c r="C98">
        <v>36</v>
      </c>
      <c r="D98">
        <v>1558.4</v>
      </c>
      <c r="F98" s="17" t="str">
        <f t="shared" si="1"/>
        <v>California</v>
      </c>
      <c r="G98" t="s">
        <v>334</v>
      </c>
      <c r="H98">
        <v>36</v>
      </c>
      <c r="J98" s="17" t="str">
        <f t="shared" si="2"/>
        <v>California</v>
      </c>
      <c r="K98" t="s">
        <v>334</v>
      </c>
      <c r="L98">
        <v>1558.4</v>
      </c>
    </row>
    <row r="99" spans="1:12" x14ac:dyDescent="0.3">
      <c r="A99" t="s">
        <v>19</v>
      </c>
      <c r="B99" t="s">
        <v>949</v>
      </c>
      <c r="C99">
        <v>30</v>
      </c>
      <c r="D99">
        <v>2223.9</v>
      </c>
      <c r="F99" s="17" t="str">
        <f t="shared" si="1"/>
        <v>California</v>
      </c>
      <c r="G99" t="s">
        <v>949</v>
      </c>
      <c r="H99">
        <v>30</v>
      </c>
      <c r="J99" s="17" t="str">
        <f t="shared" si="2"/>
        <v>California</v>
      </c>
      <c r="K99" t="s">
        <v>949</v>
      </c>
      <c r="L99">
        <v>2223.9</v>
      </c>
    </row>
    <row r="100" spans="1:12" x14ac:dyDescent="0.3">
      <c r="A100" t="s">
        <v>19</v>
      </c>
      <c r="B100" t="s">
        <v>1426</v>
      </c>
      <c r="C100">
        <v>1</v>
      </c>
      <c r="D100">
        <v>26.2</v>
      </c>
      <c r="F100" s="17" t="str">
        <f t="shared" si="1"/>
        <v>California</v>
      </c>
      <c r="G100" t="s">
        <v>1426</v>
      </c>
      <c r="H100">
        <v>1</v>
      </c>
      <c r="J100" s="17" t="str">
        <f t="shared" si="2"/>
        <v>California</v>
      </c>
      <c r="K100" t="s">
        <v>1426</v>
      </c>
      <c r="L100">
        <v>26.2</v>
      </c>
    </row>
    <row r="101" spans="1:12" x14ac:dyDescent="0.3">
      <c r="A101" t="s">
        <v>19</v>
      </c>
      <c r="B101" t="s">
        <v>33</v>
      </c>
      <c r="C101">
        <v>3991</v>
      </c>
      <c r="D101">
        <v>215551.19999999981</v>
      </c>
      <c r="F101" s="17" t="str">
        <f t="shared" si="1"/>
        <v>California</v>
      </c>
      <c r="G101" t="s">
        <v>33</v>
      </c>
      <c r="H101">
        <v>3991</v>
      </c>
      <c r="J101" s="17" t="str">
        <f t="shared" si="2"/>
        <v>California</v>
      </c>
      <c r="K101" t="s">
        <v>33</v>
      </c>
      <c r="L101">
        <v>215551.19999999981</v>
      </c>
    </row>
    <row r="102" spans="1:12" x14ac:dyDescent="0.3">
      <c r="A102" t="s">
        <v>19</v>
      </c>
      <c r="B102" t="s">
        <v>364</v>
      </c>
      <c r="C102">
        <v>45</v>
      </c>
      <c r="D102">
        <v>2687.3999999999996</v>
      </c>
      <c r="F102" s="17" t="str">
        <f t="shared" si="1"/>
        <v>California</v>
      </c>
      <c r="G102" t="s">
        <v>364</v>
      </c>
      <c r="H102">
        <v>45</v>
      </c>
      <c r="J102" s="17" t="str">
        <f t="shared" si="2"/>
        <v>California</v>
      </c>
      <c r="K102" t="s">
        <v>364</v>
      </c>
      <c r="L102">
        <v>2687.3999999999996</v>
      </c>
    </row>
    <row r="103" spans="1:12" x14ac:dyDescent="0.3">
      <c r="A103" t="s">
        <v>19</v>
      </c>
      <c r="B103" t="s">
        <v>545</v>
      </c>
      <c r="C103">
        <v>39</v>
      </c>
      <c r="D103">
        <v>1463.3000000000002</v>
      </c>
      <c r="F103" s="17" t="str">
        <f t="shared" si="1"/>
        <v>California</v>
      </c>
      <c r="G103" t="s">
        <v>545</v>
      </c>
      <c r="H103">
        <v>39</v>
      </c>
      <c r="J103" s="17" t="str">
        <f t="shared" si="2"/>
        <v>California</v>
      </c>
      <c r="K103" t="s">
        <v>545</v>
      </c>
      <c r="L103">
        <v>1463.3000000000002</v>
      </c>
    </row>
    <row r="104" spans="1:12" x14ac:dyDescent="0.3">
      <c r="A104" t="s">
        <v>19</v>
      </c>
      <c r="B104" t="s">
        <v>416</v>
      </c>
      <c r="C104">
        <v>6</v>
      </c>
      <c r="D104">
        <v>445.79999999999995</v>
      </c>
      <c r="F104" s="17" t="str">
        <f t="shared" si="1"/>
        <v>California</v>
      </c>
      <c r="G104" t="s">
        <v>416</v>
      </c>
      <c r="H104">
        <v>6</v>
      </c>
      <c r="J104" s="17" t="str">
        <f t="shared" si="2"/>
        <v>California</v>
      </c>
      <c r="K104" t="s">
        <v>416</v>
      </c>
      <c r="L104">
        <v>445.79999999999995</v>
      </c>
    </row>
    <row r="105" spans="1:12" x14ac:dyDescent="0.3">
      <c r="A105" t="s">
        <v>19</v>
      </c>
      <c r="B105" t="s">
        <v>258</v>
      </c>
      <c r="C105">
        <v>9</v>
      </c>
      <c r="D105">
        <v>273.59999999999997</v>
      </c>
      <c r="F105" s="17" t="str">
        <f t="shared" si="1"/>
        <v>California</v>
      </c>
      <c r="G105" t="s">
        <v>258</v>
      </c>
      <c r="H105">
        <v>9</v>
      </c>
      <c r="J105" s="17" t="str">
        <f t="shared" si="2"/>
        <v>California</v>
      </c>
      <c r="K105" t="s">
        <v>258</v>
      </c>
      <c r="L105">
        <v>273.59999999999997</v>
      </c>
    </row>
    <row r="106" spans="1:12" x14ac:dyDescent="0.3">
      <c r="A106" t="s">
        <v>19</v>
      </c>
      <c r="B106" t="s">
        <v>186</v>
      </c>
      <c r="C106">
        <v>60</v>
      </c>
      <c r="D106">
        <v>2690.4</v>
      </c>
      <c r="F106" s="17" t="str">
        <f t="shared" si="1"/>
        <v>California</v>
      </c>
      <c r="G106" t="s">
        <v>186</v>
      </c>
      <c r="H106">
        <v>60</v>
      </c>
      <c r="J106" s="17" t="str">
        <f t="shared" si="2"/>
        <v>California</v>
      </c>
      <c r="K106" t="s">
        <v>186</v>
      </c>
      <c r="L106">
        <v>2690.4</v>
      </c>
    </row>
    <row r="107" spans="1:12" x14ac:dyDescent="0.3">
      <c r="A107" t="s">
        <v>19</v>
      </c>
      <c r="B107" t="s">
        <v>392</v>
      </c>
      <c r="C107">
        <v>2</v>
      </c>
      <c r="D107">
        <v>28.4</v>
      </c>
      <c r="F107" s="17" t="str">
        <f t="shared" si="1"/>
        <v>California</v>
      </c>
      <c r="G107" t="s">
        <v>392</v>
      </c>
      <c r="H107">
        <v>2</v>
      </c>
      <c r="J107" s="17" t="str">
        <f t="shared" si="2"/>
        <v>California</v>
      </c>
      <c r="K107" t="s">
        <v>392</v>
      </c>
      <c r="L107">
        <v>28.4</v>
      </c>
    </row>
    <row r="108" spans="1:12" x14ac:dyDescent="0.3">
      <c r="A108" t="s">
        <v>19</v>
      </c>
      <c r="B108" t="s">
        <v>670</v>
      </c>
      <c r="C108">
        <v>4</v>
      </c>
      <c r="D108">
        <v>204.8</v>
      </c>
      <c r="F108" s="17" t="str">
        <f t="shared" si="1"/>
        <v>California</v>
      </c>
      <c r="G108" t="s">
        <v>670</v>
      </c>
      <c r="H108">
        <v>4</v>
      </c>
      <c r="J108" s="17" t="str">
        <f t="shared" si="2"/>
        <v>California</v>
      </c>
      <c r="K108" t="s">
        <v>670</v>
      </c>
      <c r="L108">
        <v>204.8</v>
      </c>
    </row>
    <row r="109" spans="1:12" x14ac:dyDescent="0.3">
      <c r="A109" t="s">
        <v>19</v>
      </c>
      <c r="B109" t="s">
        <v>802</v>
      </c>
      <c r="C109">
        <v>31</v>
      </c>
      <c r="D109">
        <v>1607.8999999999999</v>
      </c>
      <c r="F109" s="17" t="str">
        <f t="shared" si="1"/>
        <v>California</v>
      </c>
      <c r="G109" t="s">
        <v>802</v>
      </c>
      <c r="H109">
        <v>31</v>
      </c>
      <c r="J109" s="17" t="str">
        <f t="shared" si="2"/>
        <v>California</v>
      </c>
      <c r="K109" t="s">
        <v>802</v>
      </c>
      <c r="L109">
        <v>1607.8999999999999</v>
      </c>
    </row>
    <row r="110" spans="1:12" x14ac:dyDescent="0.3">
      <c r="A110" t="s">
        <v>19</v>
      </c>
      <c r="B110" t="s">
        <v>98</v>
      </c>
      <c r="C110">
        <v>88</v>
      </c>
      <c r="D110">
        <v>6444.9</v>
      </c>
      <c r="F110" s="17" t="str">
        <f t="shared" si="1"/>
        <v>California</v>
      </c>
      <c r="G110" t="s">
        <v>98</v>
      </c>
      <c r="H110">
        <v>88</v>
      </c>
      <c r="J110" s="17" t="str">
        <f t="shared" si="2"/>
        <v>California</v>
      </c>
      <c r="K110" t="s">
        <v>98</v>
      </c>
      <c r="L110">
        <v>6444.9</v>
      </c>
    </row>
    <row r="111" spans="1:12" x14ac:dyDescent="0.3">
      <c r="A111" t="s">
        <v>19</v>
      </c>
      <c r="B111" t="s">
        <v>49</v>
      </c>
      <c r="C111">
        <v>25</v>
      </c>
      <c r="D111">
        <v>1809.3</v>
      </c>
      <c r="F111" s="17" t="str">
        <f t="shared" si="1"/>
        <v>California</v>
      </c>
      <c r="G111" t="s">
        <v>49</v>
      </c>
      <c r="H111">
        <v>25</v>
      </c>
      <c r="J111" s="17" t="str">
        <f t="shared" si="2"/>
        <v>California</v>
      </c>
      <c r="K111" t="s">
        <v>49</v>
      </c>
      <c r="L111">
        <v>1809.3</v>
      </c>
    </row>
    <row r="112" spans="1:12" x14ac:dyDescent="0.3">
      <c r="A112" t="s">
        <v>19</v>
      </c>
      <c r="B112" t="s">
        <v>188</v>
      </c>
      <c r="C112">
        <v>178</v>
      </c>
      <c r="D112">
        <v>9680.399999999996</v>
      </c>
      <c r="F112" s="17" t="str">
        <f t="shared" si="1"/>
        <v>California</v>
      </c>
      <c r="G112" t="s">
        <v>188</v>
      </c>
      <c r="H112">
        <v>178</v>
      </c>
      <c r="J112" s="17" t="str">
        <f t="shared" si="2"/>
        <v>California</v>
      </c>
      <c r="K112" t="s">
        <v>188</v>
      </c>
      <c r="L112">
        <v>9680.399999999996</v>
      </c>
    </row>
    <row r="113" spans="1:12" x14ac:dyDescent="0.3">
      <c r="A113" t="s">
        <v>19</v>
      </c>
      <c r="B113" t="s">
        <v>52</v>
      </c>
      <c r="C113">
        <v>141</v>
      </c>
      <c r="D113">
        <v>9414.7999999999993</v>
      </c>
      <c r="F113" s="17" t="str">
        <f t="shared" si="1"/>
        <v>California</v>
      </c>
      <c r="G113" t="s">
        <v>52</v>
      </c>
      <c r="H113">
        <v>141</v>
      </c>
      <c r="J113" s="17" t="str">
        <f t="shared" si="2"/>
        <v>California</v>
      </c>
      <c r="K113" t="s">
        <v>52</v>
      </c>
      <c r="L113">
        <v>9414.7999999999993</v>
      </c>
    </row>
    <row r="114" spans="1:12" x14ac:dyDescent="0.3">
      <c r="A114" t="s">
        <v>19</v>
      </c>
      <c r="B114" t="s">
        <v>338</v>
      </c>
      <c r="C114">
        <v>6</v>
      </c>
      <c r="D114">
        <v>206.1</v>
      </c>
      <c r="F114" s="17" t="str">
        <f t="shared" si="1"/>
        <v>California</v>
      </c>
      <c r="G114" t="s">
        <v>338</v>
      </c>
      <c r="H114">
        <v>6</v>
      </c>
      <c r="J114" s="17" t="str">
        <f t="shared" si="2"/>
        <v>California</v>
      </c>
      <c r="K114" t="s">
        <v>338</v>
      </c>
      <c r="L114">
        <v>206.1</v>
      </c>
    </row>
    <row r="115" spans="1:12" x14ac:dyDescent="0.3">
      <c r="A115" t="s">
        <v>19</v>
      </c>
      <c r="B115" t="s">
        <v>158</v>
      </c>
      <c r="C115">
        <v>178</v>
      </c>
      <c r="D115">
        <v>7691.3</v>
      </c>
      <c r="F115" s="17" t="str">
        <f t="shared" si="1"/>
        <v>California</v>
      </c>
      <c r="G115" t="s">
        <v>158</v>
      </c>
      <c r="H115">
        <v>178</v>
      </c>
      <c r="J115" s="17" t="str">
        <f t="shared" si="2"/>
        <v>California</v>
      </c>
      <c r="K115" t="s">
        <v>158</v>
      </c>
      <c r="L115">
        <v>7691.3</v>
      </c>
    </row>
    <row r="116" spans="1:12" x14ac:dyDescent="0.3">
      <c r="A116" t="s">
        <v>19</v>
      </c>
      <c r="B116" t="s">
        <v>55</v>
      </c>
      <c r="C116">
        <v>699</v>
      </c>
      <c r="D116">
        <v>37784.900000000016</v>
      </c>
      <c r="F116" s="17" t="str">
        <f t="shared" si="1"/>
        <v>California</v>
      </c>
      <c r="G116" t="s">
        <v>55</v>
      </c>
      <c r="H116">
        <v>699</v>
      </c>
      <c r="J116" s="17" t="str">
        <f t="shared" si="2"/>
        <v>California</v>
      </c>
      <c r="K116" t="s">
        <v>55</v>
      </c>
      <c r="L116">
        <v>37784.900000000016</v>
      </c>
    </row>
    <row r="117" spans="1:12" x14ac:dyDescent="0.3">
      <c r="A117" t="s">
        <v>19</v>
      </c>
      <c r="B117" t="s">
        <v>342</v>
      </c>
      <c r="C117">
        <v>23</v>
      </c>
      <c r="D117">
        <v>1129.7</v>
      </c>
      <c r="F117" s="17" t="str">
        <f t="shared" si="1"/>
        <v>California</v>
      </c>
      <c r="G117" t="s">
        <v>342</v>
      </c>
      <c r="H117">
        <v>23</v>
      </c>
      <c r="J117" s="17" t="str">
        <f t="shared" si="2"/>
        <v>California</v>
      </c>
      <c r="K117" t="s">
        <v>342</v>
      </c>
      <c r="L117">
        <v>1129.7</v>
      </c>
    </row>
    <row r="118" spans="1:12" x14ac:dyDescent="0.3">
      <c r="A118" t="s">
        <v>19</v>
      </c>
      <c r="B118" t="s">
        <v>59</v>
      </c>
      <c r="C118">
        <v>356</v>
      </c>
      <c r="D118">
        <v>20988.9</v>
      </c>
      <c r="F118" s="17" t="str">
        <f t="shared" si="1"/>
        <v>California</v>
      </c>
      <c r="G118" t="s">
        <v>59</v>
      </c>
      <c r="H118">
        <v>356</v>
      </c>
      <c r="J118" s="17" t="str">
        <f t="shared" si="2"/>
        <v>California</v>
      </c>
      <c r="K118" t="s">
        <v>59</v>
      </c>
      <c r="L118">
        <v>20988.9</v>
      </c>
    </row>
    <row r="119" spans="1:12" x14ac:dyDescent="0.3">
      <c r="A119" t="s">
        <v>19</v>
      </c>
      <c r="B119" t="s">
        <v>62</v>
      </c>
      <c r="C119">
        <v>1768</v>
      </c>
      <c r="D119">
        <v>98367.099999999977</v>
      </c>
      <c r="F119" s="17" t="str">
        <f t="shared" si="1"/>
        <v>California</v>
      </c>
      <c r="G119" t="s">
        <v>62</v>
      </c>
      <c r="H119">
        <v>1768</v>
      </c>
      <c r="J119" s="17" t="str">
        <f t="shared" si="2"/>
        <v>California</v>
      </c>
      <c r="K119" t="s">
        <v>62</v>
      </c>
      <c r="L119">
        <v>98367.099999999977</v>
      </c>
    </row>
    <row r="120" spans="1:12" x14ac:dyDescent="0.3">
      <c r="A120" t="s">
        <v>19</v>
      </c>
      <c r="B120" t="s">
        <v>103</v>
      </c>
      <c r="C120">
        <v>307</v>
      </c>
      <c r="D120">
        <v>21911.9</v>
      </c>
      <c r="F120" s="17" t="str">
        <f t="shared" si="1"/>
        <v>California</v>
      </c>
      <c r="G120" t="s">
        <v>103</v>
      </c>
      <c r="H120">
        <v>307</v>
      </c>
      <c r="J120" s="17" t="str">
        <f t="shared" si="2"/>
        <v>California</v>
      </c>
      <c r="K120" t="s">
        <v>103</v>
      </c>
      <c r="L120">
        <v>21911.9</v>
      </c>
    </row>
    <row r="121" spans="1:12" x14ac:dyDescent="0.3">
      <c r="A121" t="s">
        <v>19</v>
      </c>
      <c r="B121" t="s">
        <v>201</v>
      </c>
      <c r="C121">
        <v>117</v>
      </c>
      <c r="D121">
        <v>5441.2</v>
      </c>
      <c r="F121" s="17" t="str">
        <f t="shared" si="1"/>
        <v>California</v>
      </c>
      <c r="G121" t="s">
        <v>201</v>
      </c>
      <c r="H121">
        <v>117</v>
      </c>
      <c r="J121" s="17" t="str">
        <f t="shared" si="2"/>
        <v>California</v>
      </c>
      <c r="K121" t="s">
        <v>201</v>
      </c>
      <c r="L121">
        <v>5441.2</v>
      </c>
    </row>
    <row r="122" spans="1:12" x14ac:dyDescent="0.3">
      <c r="A122" t="s">
        <v>19</v>
      </c>
      <c r="B122" t="s">
        <v>429</v>
      </c>
      <c r="C122">
        <v>13</v>
      </c>
      <c r="D122">
        <v>392.8</v>
      </c>
      <c r="F122" s="17" t="str">
        <f t="shared" si="1"/>
        <v>California</v>
      </c>
      <c r="G122" t="s">
        <v>429</v>
      </c>
      <c r="H122">
        <v>13</v>
      </c>
      <c r="J122" s="17" t="str">
        <f t="shared" si="2"/>
        <v>California</v>
      </c>
      <c r="K122" t="s">
        <v>429</v>
      </c>
      <c r="L122">
        <v>392.8</v>
      </c>
    </row>
    <row r="123" spans="1:12" x14ac:dyDescent="0.3">
      <c r="A123" t="s">
        <v>19</v>
      </c>
      <c r="B123" t="s">
        <v>72</v>
      </c>
      <c r="C123">
        <v>364</v>
      </c>
      <c r="D123">
        <v>16172.000000000005</v>
      </c>
      <c r="F123" s="17" t="str">
        <f t="shared" si="1"/>
        <v>California</v>
      </c>
      <c r="G123" t="s">
        <v>72</v>
      </c>
      <c r="H123">
        <v>364</v>
      </c>
      <c r="J123" s="17" t="str">
        <f t="shared" si="2"/>
        <v>California</v>
      </c>
      <c r="K123" t="s">
        <v>72</v>
      </c>
      <c r="L123">
        <v>16172.000000000005</v>
      </c>
    </row>
    <row r="124" spans="1:12" x14ac:dyDescent="0.3">
      <c r="A124" t="s">
        <v>19</v>
      </c>
      <c r="B124" t="s">
        <v>74</v>
      </c>
      <c r="C124">
        <v>95</v>
      </c>
      <c r="D124">
        <v>4334.9999999999991</v>
      </c>
      <c r="F124" s="17" t="str">
        <f t="shared" si="1"/>
        <v>California</v>
      </c>
      <c r="G124" t="s">
        <v>74</v>
      </c>
      <c r="H124">
        <v>95</v>
      </c>
      <c r="J124" s="17" t="str">
        <f t="shared" si="2"/>
        <v>California</v>
      </c>
      <c r="K124" t="s">
        <v>74</v>
      </c>
      <c r="L124">
        <v>4334.9999999999991</v>
      </c>
    </row>
    <row r="125" spans="1:12" x14ac:dyDescent="0.3">
      <c r="A125" t="s">
        <v>19</v>
      </c>
      <c r="B125" t="s">
        <v>77</v>
      </c>
      <c r="C125">
        <v>737</v>
      </c>
      <c r="D125">
        <v>37449.000000000007</v>
      </c>
      <c r="F125" s="17" t="str">
        <f t="shared" si="1"/>
        <v>California</v>
      </c>
      <c r="G125" t="s">
        <v>77</v>
      </c>
      <c r="H125">
        <v>737</v>
      </c>
      <c r="J125" s="17" t="str">
        <f t="shared" si="2"/>
        <v>California</v>
      </c>
      <c r="K125" t="s">
        <v>77</v>
      </c>
      <c r="L125">
        <v>37449.000000000007</v>
      </c>
    </row>
    <row r="126" spans="1:12" x14ac:dyDescent="0.3">
      <c r="A126" t="s">
        <v>19</v>
      </c>
      <c r="B126" t="s">
        <v>309</v>
      </c>
      <c r="C126">
        <v>39</v>
      </c>
      <c r="D126">
        <v>2447.5</v>
      </c>
      <c r="F126" s="17" t="str">
        <f t="shared" si="1"/>
        <v>California</v>
      </c>
      <c r="G126" t="s">
        <v>309</v>
      </c>
      <c r="H126">
        <v>39</v>
      </c>
      <c r="J126" s="17" t="str">
        <f t="shared" si="2"/>
        <v>California</v>
      </c>
      <c r="K126" t="s">
        <v>309</v>
      </c>
      <c r="L126">
        <v>2447.5</v>
      </c>
    </row>
    <row r="127" spans="1:12" x14ac:dyDescent="0.3">
      <c r="A127" t="s">
        <v>19</v>
      </c>
      <c r="B127" t="s">
        <v>1116</v>
      </c>
      <c r="C127">
        <v>56</v>
      </c>
      <c r="D127">
        <v>3391.1</v>
      </c>
      <c r="F127" s="17" t="str">
        <f t="shared" si="1"/>
        <v>California</v>
      </c>
      <c r="G127" t="s">
        <v>1116</v>
      </c>
      <c r="H127">
        <v>56</v>
      </c>
      <c r="J127" s="17" t="str">
        <f t="shared" si="2"/>
        <v>California</v>
      </c>
      <c r="K127" t="s">
        <v>1116</v>
      </c>
      <c r="L127">
        <v>3391.1</v>
      </c>
    </row>
    <row r="128" spans="1:12" x14ac:dyDescent="0.3">
      <c r="A128" t="s">
        <v>19</v>
      </c>
      <c r="B128" t="s">
        <v>700</v>
      </c>
      <c r="C128">
        <v>2</v>
      </c>
      <c r="D128">
        <v>30.8</v>
      </c>
      <c r="F128" s="17" t="str">
        <f t="shared" si="1"/>
        <v>California</v>
      </c>
      <c r="G128" t="s">
        <v>700</v>
      </c>
      <c r="H128">
        <v>2</v>
      </c>
      <c r="J128" s="17" t="str">
        <f t="shared" si="2"/>
        <v>California</v>
      </c>
      <c r="K128" t="s">
        <v>700</v>
      </c>
      <c r="L128">
        <v>30.8</v>
      </c>
    </row>
    <row r="129" spans="1:12" x14ac:dyDescent="0.3">
      <c r="A129" t="s">
        <v>19</v>
      </c>
      <c r="B129" t="s">
        <v>268</v>
      </c>
      <c r="C129">
        <v>8</v>
      </c>
      <c r="D129">
        <v>332.3</v>
      </c>
      <c r="F129" s="17" t="str">
        <f t="shared" si="1"/>
        <v>California</v>
      </c>
      <c r="G129" t="s">
        <v>268</v>
      </c>
      <c r="H129">
        <v>8</v>
      </c>
      <c r="J129" s="17" t="str">
        <f t="shared" si="2"/>
        <v>California</v>
      </c>
      <c r="K129" t="s">
        <v>268</v>
      </c>
      <c r="L129">
        <v>332.3</v>
      </c>
    </row>
    <row r="130" spans="1:12" x14ac:dyDescent="0.3">
      <c r="A130" t="s">
        <v>19</v>
      </c>
      <c r="B130" t="s">
        <v>377</v>
      </c>
      <c r="C130">
        <v>52</v>
      </c>
      <c r="D130">
        <v>3175.9999999999995</v>
      </c>
      <c r="F130" s="17" t="str">
        <f t="shared" si="1"/>
        <v>California</v>
      </c>
      <c r="G130" t="s">
        <v>377</v>
      </c>
      <c r="H130">
        <v>52</v>
      </c>
      <c r="J130" s="17" t="str">
        <f t="shared" si="2"/>
        <v>California</v>
      </c>
      <c r="K130" t="s">
        <v>377</v>
      </c>
      <c r="L130">
        <v>3175.9999999999995</v>
      </c>
    </row>
    <row r="131" spans="1:12" x14ac:dyDescent="0.3">
      <c r="A131" t="s">
        <v>19</v>
      </c>
      <c r="B131" t="s">
        <v>108</v>
      </c>
      <c r="C131">
        <v>295</v>
      </c>
      <c r="D131">
        <v>20939.600000000002</v>
      </c>
      <c r="F131" s="17" t="str">
        <f t="shared" si="1"/>
        <v>California</v>
      </c>
      <c r="G131" t="s">
        <v>108</v>
      </c>
      <c r="H131">
        <v>295</v>
      </c>
      <c r="J131" s="17" t="str">
        <f t="shared" si="2"/>
        <v>California</v>
      </c>
      <c r="K131" t="s">
        <v>108</v>
      </c>
      <c r="L131">
        <v>20939.600000000002</v>
      </c>
    </row>
    <row r="132" spans="1:12" x14ac:dyDescent="0.3">
      <c r="A132" t="s">
        <v>19</v>
      </c>
      <c r="B132" t="s">
        <v>110</v>
      </c>
      <c r="C132">
        <v>195</v>
      </c>
      <c r="D132">
        <v>10185.899999999996</v>
      </c>
      <c r="F132" s="17" t="str">
        <f t="shared" si="1"/>
        <v>California</v>
      </c>
      <c r="G132" t="s">
        <v>110</v>
      </c>
      <c r="H132">
        <v>195</v>
      </c>
      <c r="J132" s="17" t="str">
        <f t="shared" si="2"/>
        <v>California</v>
      </c>
      <c r="K132" t="s">
        <v>110</v>
      </c>
      <c r="L132">
        <v>10185.899999999996</v>
      </c>
    </row>
    <row r="133" spans="1:12" x14ac:dyDescent="0.3">
      <c r="A133" t="s">
        <v>19</v>
      </c>
      <c r="B133" t="s">
        <v>292</v>
      </c>
      <c r="C133">
        <v>20</v>
      </c>
      <c r="D133">
        <v>958.7</v>
      </c>
      <c r="F133" s="17" t="str">
        <f t="shared" si="1"/>
        <v>California</v>
      </c>
      <c r="G133" t="s">
        <v>292</v>
      </c>
      <c r="H133">
        <v>20</v>
      </c>
      <c r="J133" s="17" t="str">
        <f t="shared" si="2"/>
        <v>California</v>
      </c>
      <c r="K133" t="s">
        <v>292</v>
      </c>
      <c r="L133">
        <v>958.7</v>
      </c>
    </row>
    <row r="134" spans="1:12" x14ac:dyDescent="0.3">
      <c r="A134" t="s">
        <v>19</v>
      </c>
      <c r="B134" t="s">
        <v>79</v>
      </c>
      <c r="C134">
        <v>6</v>
      </c>
      <c r="D134">
        <v>323</v>
      </c>
      <c r="F134" s="17" t="str">
        <f t="shared" si="1"/>
        <v>California</v>
      </c>
      <c r="G134" t="s">
        <v>79</v>
      </c>
      <c r="H134">
        <v>6</v>
      </c>
      <c r="J134" s="17" t="str">
        <f t="shared" si="2"/>
        <v>California</v>
      </c>
      <c r="K134" t="s">
        <v>79</v>
      </c>
      <c r="L134">
        <v>323</v>
      </c>
    </row>
    <row r="135" spans="1:12" x14ac:dyDescent="0.3">
      <c r="A135" t="s">
        <v>19</v>
      </c>
      <c r="B135" t="s">
        <v>608</v>
      </c>
      <c r="C135">
        <v>5</v>
      </c>
      <c r="D135">
        <v>167.70000000000002</v>
      </c>
      <c r="F135" s="17" t="str">
        <f t="shared" si="1"/>
        <v>California</v>
      </c>
      <c r="G135" t="s">
        <v>608</v>
      </c>
      <c r="H135">
        <v>5</v>
      </c>
      <c r="J135" s="17" t="str">
        <f t="shared" si="2"/>
        <v>California</v>
      </c>
      <c r="K135" t="s">
        <v>608</v>
      </c>
      <c r="L135">
        <v>167.70000000000002</v>
      </c>
    </row>
    <row r="136" spans="1:12" x14ac:dyDescent="0.3">
      <c r="A136" t="s">
        <v>19</v>
      </c>
      <c r="B136" t="s">
        <v>113</v>
      </c>
      <c r="C136">
        <v>94</v>
      </c>
      <c r="D136">
        <v>3978.5</v>
      </c>
      <c r="F136" s="17" t="str">
        <f t="shared" si="1"/>
        <v>California</v>
      </c>
      <c r="G136" t="s">
        <v>113</v>
      </c>
      <c r="H136">
        <v>94</v>
      </c>
      <c r="J136" s="17" t="str">
        <f t="shared" si="2"/>
        <v>California</v>
      </c>
      <c r="K136" t="s">
        <v>113</v>
      </c>
      <c r="L136">
        <v>3978.5</v>
      </c>
    </row>
    <row r="137" spans="1:12" x14ac:dyDescent="0.3">
      <c r="A137" t="s">
        <v>19</v>
      </c>
      <c r="B137" t="s">
        <v>997</v>
      </c>
      <c r="C137">
        <v>28</v>
      </c>
      <c r="D137">
        <v>1405</v>
      </c>
      <c r="F137" s="17" t="str">
        <f t="shared" si="1"/>
        <v>California</v>
      </c>
      <c r="G137" t="s">
        <v>997</v>
      </c>
      <c r="H137">
        <v>28</v>
      </c>
      <c r="J137" s="17" t="str">
        <f t="shared" si="2"/>
        <v>California</v>
      </c>
      <c r="K137" t="s">
        <v>997</v>
      </c>
      <c r="L137">
        <v>1405</v>
      </c>
    </row>
    <row r="138" spans="1:12" x14ac:dyDescent="0.3">
      <c r="A138" t="s">
        <v>19</v>
      </c>
      <c r="B138" t="s">
        <v>82</v>
      </c>
      <c r="C138">
        <v>179</v>
      </c>
      <c r="D138">
        <v>9869.0999999999985</v>
      </c>
      <c r="F138" s="17" t="str">
        <f t="shared" si="1"/>
        <v>California</v>
      </c>
      <c r="G138" t="s">
        <v>82</v>
      </c>
      <c r="H138">
        <v>179</v>
      </c>
      <c r="J138" s="17" t="str">
        <f t="shared" si="2"/>
        <v>California</v>
      </c>
      <c r="K138" t="s">
        <v>82</v>
      </c>
      <c r="L138">
        <v>9869.0999999999985</v>
      </c>
    </row>
    <row r="139" spans="1:12" x14ac:dyDescent="0.3">
      <c r="A139" t="s">
        <v>19</v>
      </c>
      <c r="B139" t="s">
        <v>243</v>
      </c>
      <c r="C139">
        <v>15</v>
      </c>
      <c r="D139">
        <v>615.29999999999995</v>
      </c>
      <c r="F139" s="17" t="str">
        <f t="shared" si="1"/>
        <v>California</v>
      </c>
      <c r="G139" t="s">
        <v>243</v>
      </c>
      <c r="H139">
        <v>15</v>
      </c>
      <c r="J139" s="17" t="str">
        <f t="shared" si="2"/>
        <v>California</v>
      </c>
      <c r="K139" t="s">
        <v>243</v>
      </c>
      <c r="L139">
        <v>615.29999999999995</v>
      </c>
    </row>
    <row r="140" spans="1:12" x14ac:dyDescent="0.3">
      <c r="A140" t="s">
        <v>19</v>
      </c>
      <c r="B140" t="s">
        <v>1911</v>
      </c>
      <c r="C140">
        <v>3</v>
      </c>
      <c r="D140">
        <v>285</v>
      </c>
      <c r="F140" s="17" t="str">
        <f t="shared" si="1"/>
        <v>California</v>
      </c>
      <c r="G140" t="s">
        <v>1911</v>
      </c>
      <c r="H140">
        <v>3</v>
      </c>
      <c r="J140" s="17" t="str">
        <f t="shared" si="2"/>
        <v>California</v>
      </c>
      <c r="K140" t="s">
        <v>1911</v>
      </c>
      <c r="L140">
        <v>285</v>
      </c>
    </row>
    <row r="144" spans="1:12" ht="21" x14ac:dyDescent="0.4">
      <c r="A144" s="18" t="s">
        <v>2578</v>
      </c>
    </row>
    <row r="145" spans="1:2" x14ac:dyDescent="0.3">
      <c r="A145" s="13" t="s">
        <v>2558</v>
      </c>
      <c r="B145" t="s">
        <v>2552</v>
      </c>
    </row>
    <row r="146" spans="1:2" x14ac:dyDescent="0.3">
      <c r="A146" s="14">
        <v>0</v>
      </c>
      <c r="B146">
        <v>175</v>
      </c>
    </row>
    <row r="147" spans="1:2" x14ac:dyDescent="0.3">
      <c r="A147" s="14">
        <v>1</v>
      </c>
      <c r="B147">
        <v>888</v>
      </c>
    </row>
    <row r="148" spans="1:2" x14ac:dyDescent="0.3">
      <c r="A148" s="14">
        <v>2</v>
      </c>
      <c r="B148">
        <v>538</v>
      </c>
    </row>
    <row r="149" spans="1:2" x14ac:dyDescent="0.3">
      <c r="A149" s="14">
        <v>3</v>
      </c>
      <c r="B149">
        <v>344</v>
      </c>
    </row>
    <row r="150" spans="1:2" x14ac:dyDescent="0.3">
      <c r="A150" s="14">
        <v>4</v>
      </c>
      <c r="B150">
        <v>200</v>
      </c>
    </row>
    <row r="151" spans="1:2" x14ac:dyDescent="0.3">
      <c r="A151" s="14">
        <v>5</v>
      </c>
      <c r="B151">
        <v>94</v>
      </c>
    </row>
    <row r="152" spans="1:2" x14ac:dyDescent="0.3">
      <c r="A152" s="14">
        <v>6</v>
      </c>
      <c r="B152">
        <v>51</v>
      </c>
    </row>
    <row r="153" spans="1:2" x14ac:dyDescent="0.3">
      <c r="A153" s="14">
        <v>7</v>
      </c>
      <c r="B153">
        <v>32</v>
      </c>
    </row>
    <row r="154" spans="1:2" x14ac:dyDescent="0.3">
      <c r="A154" s="14">
        <v>8</v>
      </c>
      <c r="B154">
        <v>23</v>
      </c>
    </row>
    <row r="155" spans="1:2" x14ac:dyDescent="0.3">
      <c r="A155" s="14">
        <v>9</v>
      </c>
      <c r="B155">
        <v>9</v>
      </c>
    </row>
    <row r="156" spans="1:2" x14ac:dyDescent="0.3">
      <c r="A156" s="14">
        <v>10</v>
      </c>
      <c r="B156">
        <v>8</v>
      </c>
    </row>
    <row r="157" spans="1:2" x14ac:dyDescent="0.3">
      <c r="A157" s="14">
        <v>11</v>
      </c>
      <c r="B157">
        <v>11</v>
      </c>
    </row>
    <row r="158" spans="1:2" x14ac:dyDescent="0.3">
      <c r="A158" s="14">
        <v>12</v>
      </c>
      <c r="B158">
        <v>4</v>
      </c>
    </row>
    <row r="159" spans="1:2" x14ac:dyDescent="0.3">
      <c r="A159" s="14">
        <v>13</v>
      </c>
      <c r="B159">
        <v>10</v>
      </c>
    </row>
    <row r="160" spans="1:2" x14ac:dyDescent="0.3">
      <c r="A160" s="14">
        <v>14</v>
      </c>
      <c r="B160">
        <v>13</v>
      </c>
    </row>
    <row r="161" spans="1:7" x14ac:dyDescent="0.3">
      <c r="A161" s="14" t="s">
        <v>2559</v>
      </c>
      <c r="B161">
        <v>2400</v>
      </c>
    </row>
    <row r="164" spans="1:7" ht="21" x14ac:dyDescent="0.4">
      <c r="A164" s="18" t="s">
        <v>2580</v>
      </c>
    </row>
    <row r="165" spans="1:7" x14ac:dyDescent="0.3">
      <c r="A165" s="13" t="s">
        <v>2552</v>
      </c>
      <c r="B165" s="13" t="s">
        <v>2560</v>
      </c>
    </row>
    <row r="166" spans="1:7" x14ac:dyDescent="0.3">
      <c r="A166" s="13" t="s">
        <v>2558</v>
      </c>
      <c r="B166">
        <v>1</v>
      </c>
      <c r="C166">
        <v>2</v>
      </c>
      <c r="D166">
        <v>3</v>
      </c>
      <c r="E166">
        <v>4</v>
      </c>
      <c r="F166">
        <v>5</v>
      </c>
      <c r="G166" t="s">
        <v>2559</v>
      </c>
    </row>
    <row r="167" spans="1:7" x14ac:dyDescent="0.3">
      <c r="A167" s="14" t="s">
        <v>2570</v>
      </c>
      <c r="B167">
        <v>7</v>
      </c>
      <c r="C167">
        <v>37</v>
      </c>
      <c r="D167">
        <v>150</v>
      </c>
      <c r="E167">
        <v>312</v>
      </c>
      <c r="F167">
        <v>224</v>
      </c>
      <c r="G167">
        <v>730</v>
      </c>
    </row>
    <row r="168" spans="1:7" x14ac:dyDescent="0.3">
      <c r="A168" s="14" t="s">
        <v>2571</v>
      </c>
      <c r="B168">
        <v>8</v>
      </c>
      <c r="C168">
        <v>51</v>
      </c>
      <c r="D168">
        <v>182</v>
      </c>
      <c r="E168">
        <v>373</v>
      </c>
      <c r="F168">
        <v>247</v>
      </c>
      <c r="G168">
        <v>861</v>
      </c>
    </row>
    <row r="169" spans="1:7" x14ac:dyDescent="0.3">
      <c r="A169" s="14" t="s">
        <v>2572</v>
      </c>
      <c r="B169">
        <v>6</v>
      </c>
      <c r="C169">
        <v>39</v>
      </c>
      <c r="D169">
        <v>163</v>
      </c>
      <c r="E169">
        <v>351</v>
      </c>
      <c r="F169">
        <v>250</v>
      </c>
      <c r="G169">
        <v>809</v>
      </c>
    </row>
    <row r="170" spans="1:7" x14ac:dyDescent="0.3">
      <c r="A170" s="14" t="s">
        <v>2559</v>
      </c>
      <c r="B170">
        <v>21</v>
      </c>
      <c r="C170">
        <v>127</v>
      </c>
      <c r="D170">
        <v>495</v>
      </c>
      <c r="E170">
        <v>1036</v>
      </c>
      <c r="F170">
        <v>721</v>
      </c>
      <c r="G170">
        <v>2400</v>
      </c>
    </row>
  </sheetData>
  <conditionalFormatting sqref="H27:L32">
    <cfRule type="dataBar" priority="2">
      <dataBar>
        <cfvo type="min"/>
        <cfvo type="max"/>
        <color rgb="FF63C384"/>
      </dataBar>
      <extLst>
        <ext xmlns:x14="http://schemas.microsoft.com/office/spreadsheetml/2009/9/main" uri="{B025F937-C7B1-47D3-B67F-A62EFF666E3E}">
          <x14:id>{3EF324F2-97BD-4420-B0E3-B0E41936F63C}</x14:id>
        </ext>
      </extLst>
    </cfRule>
  </conditionalFormatting>
  <conditionalFormatting sqref="H27:L33">
    <cfRule type="dataBar" priority="1">
      <dataBar>
        <cfvo type="min"/>
        <cfvo type="max"/>
        <color rgb="FF638EC6"/>
      </dataBar>
      <extLst>
        <ext xmlns:x14="http://schemas.microsoft.com/office/spreadsheetml/2009/9/main" uri="{B025F937-C7B1-47D3-B67F-A62EFF666E3E}">
          <x14:id>{57E7EB61-DE5C-4AFF-9BC6-064A4B19AE86}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EF324F2-97BD-4420-B0E3-B0E41936F63C}">
            <x14:dataBar minLength="0" maxLength="100" border="1" negativeBarBorderColorSameAsPositive="0">
              <x14:cfvo type="autoMin"/>
              <x14:cfvo type="autoMax"/>
              <x14:borderColor rgb="FF63C384"/>
              <x14:negativeFillColor rgb="FFFF0000"/>
              <x14:negativeBorderColor rgb="FFFF0000"/>
              <x14:axisColor rgb="FF000000"/>
            </x14:dataBar>
          </x14:cfRule>
          <xm:sqref>H27:L32</xm:sqref>
        </x14:conditionalFormatting>
        <x14:conditionalFormatting xmlns:xm="http://schemas.microsoft.com/office/excel/2006/main">
          <x14:cfRule type="dataBar" id="{57E7EB61-DE5C-4AFF-9BC6-064A4B19AE86}">
            <x14:dataBar minLength="0" maxLength="100" border="1" negativeBarBorderColorSameAsPositive="0">
              <x14:cfvo type="autoMin"/>
              <x14:cfvo type="autoMax"/>
              <x14:borderColor rgb="FF638EC6"/>
              <x14:negativeFillColor rgb="FFFF0000"/>
              <x14:negativeBorderColor rgb="FFFF0000"/>
              <x14:axisColor rgb="FF000000"/>
            </x14:dataBar>
          </x14:cfRule>
          <xm:sqref>H27:L33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O1" activeCellId="1" sqref="I1:I1048576 O1:O1048576"/>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s="22" t="s">
        <v>68</v>
      </c>
      <c r="B26" s="22" t="s">
        <v>69</v>
      </c>
      <c r="C26" s="22">
        <v>8</v>
      </c>
      <c r="D26" s="22">
        <v>88.8</v>
      </c>
      <c r="E26" s="22">
        <v>710.4</v>
      </c>
      <c r="F26" s="25">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s="22" t="s">
        <v>71</v>
      </c>
      <c r="B27" s="22" t="s">
        <v>16</v>
      </c>
      <c r="C27" s="22">
        <v>10</v>
      </c>
      <c r="D27" s="22">
        <v>17.5</v>
      </c>
      <c r="E27" s="22">
        <v>175</v>
      </c>
      <c r="F27" s="25">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s="22" t="s">
        <v>73</v>
      </c>
      <c r="B28" s="22" t="s">
        <v>22</v>
      </c>
      <c r="C28" s="22">
        <v>9</v>
      </c>
      <c r="D28" s="22">
        <v>38.700000000000003</v>
      </c>
      <c r="E28" s="22">
        <v>348.3</v>
      </c>
      <c r="F28" s="25">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s="22" t="s">
        <v>75</v>
      </c>
      <c r="B29" s="22" t="s">
        <v>76</v>
      </c>
      <c r="C29" s="22">
        <v>4</v>
      </c>
      <c r="D29" s="22">
        <v>57.2</v>
      </c>
      <c r="E29" s="22">
        <v>228.8</v>
      </c>
      <c r="F29" s="25">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s="22" t="s">
        <v>78</v>
      </c>
      <c r="B30" s="22" t="s">
        <v>39</v>
      </c>
      <c r="C30" s="22">
        <v>5</v>
      </c>
      <c r="D30" s="22">
        <v>50.9</v>
      </c>
      <c r="E30" s="22">
        <v>254.5</v>
      </c>
      <c r="F30" s="25">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s="22" t="s">
        <v>80</v>
      </c>
      <c r="B31" s="22" t="s">
        <v>81</v>
      </c>
      <c r="C31" s="22">
        <v>7</v>
      </c>
      <c r="D31" s="22">
        <v>41</v>
      </c>
      <c r="E31" s="22">
        <v>287</v>
      </c>
      <c r="F31" s="25">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s="22" t="s">
        <v>83</v>
      </c>
      <c r="B32" s="22" t="s">
        <v>44</v>
      </c>
      <c r="C32" s="22">
        <v>7</v>
      </c>
      <c r="D32" s="22">
        <v>19.100000000000001</v>
      </c>
      <c r="E32" s="22">
        <v>133.70000000000002</v>
      </c>
      <c r="F32" s="25">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s="22" t="s">
        <v>85</v>
      </c>
      <c r="B33" s="22" t="s">
        <v>26</v>
      </c>
      <c r="C33" s="22">
        <v>5</v>
      </c>
      <c r="D33" s="22">
        <v>166.1</v>
      </c>
      <c r="E33" s="22">
        <v>830.5</v>
      </c>
      <c r="F33" s="25">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B6" sqref="B6:D11"/>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Pivots</vt:lpstr>
      <vt:lpstr>Data</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Kesha Soni</cp:lastModifiedBy>
  <dcterms:created xsi:type="dcterms:W3CDTF">2025-06-13T02:42:26Z</dcterms:created>
  <dcterms:modified xsi:type="dcterms:W3CDTF">2026-06-09T09:26:55Z</dcterms:modified>
</cp:coreProperties>
</file>